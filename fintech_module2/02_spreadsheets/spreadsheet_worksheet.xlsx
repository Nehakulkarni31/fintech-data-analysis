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ha Kulkarni\bitsom assignments\module 2 graded assignment\01_data\processed\"/>
    </mc:Choice>
  </mc:AlternateContent>
  <xr:revisionPtr revIDLastSave="0" documentId="8_{90A1B658-4805-4628-8A24-593812A3C79A}" xr6:coauthVersionLast="47" xr6:coauthVersionMax="47" xr10:uidLastSave="{00000000-0000-0000-0000-000000000000}"/>
  <bookViews>
    <workbookView xWindow="-110" yWindow="-110" windowWidth="19420" windowHeight="11500" firstSheet="2" activeTab="3" xr2:uid="{540BFA77-0039-41F9-91DE-4E34EF7A3336}"/>
  </bookViews>
  <sheets>
    <sheet name="transactions_raw" sheetId="2" r:id="rId1"/>
    <sheet name="cleaned_transactions_calculatio" sheetId="1" r:id="rId2"/>
    <sheet name="merchant_risk_summary" sheetId="6" r:id="rId3"/>
    <sheet name="cleaned_transactions" sheetId="5" r:id="rId4"/>
    <sheet name="exchange_rates" sheetId="4" r:id="rId5"/>
  </sheets>
  <definedNames>
    <definedName name="ExternalData_1" localSheetId="1" hidden="1">cleaned_transactions_calculatio!$A$1:$N$31</definedName>
    <definedName name="ExternalData_1" localSheetId="0" hidden="1">transactions_raw!$A$1:$J$31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5" l="1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S2" i="1"/>
  <c r="S1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O3" i="1"/>
  <c r="P3" i="1" s="1"/>
  <c r="Q3" i="1" s="1"/>
  <c r="O4" i="1"/>
  <c r="P4" i="1" s="1"/>
  <c r="Q4" i="1" s="1"/>
  <c r="O5" i="1"/>
  <c r="P5" i="1" s="1"/>
  <c r="Q5" i="1" s="1"/>
  <c r="O6" i="1"/>
  <c r="P6" i="1" s="1"/>
  <c r="Q6" i="1" s="1"/>
  <c r="O7" i="1"/>
  <c r="P7" i="1" s="1"/>
  <c r="Q7" i="1" s="1"/>
  <c r="O8" i="1"/>
  <c r="P8" i="1" s="1"/>
  <c r="Q8" i="1" s="1"/>
  <c r="O9" i="1"/>
  <c r="P9" i="1" s="1"/>
  <c r="Q9" i="1" s="1"/>
  <c r="O10" i="1"/>
  <c r="P10" i="1" s="1"/>
  <c r="Q10" i="1" s="1"/>
  <c r="O11" i="1"/>
  <c r="P11" i="1" s="1"/>
  <c r="Q11" i="1" s="1"/>
  <c r="O12" i="1"/>
  <c r="P12" i="1" s="1"/>
  <c r="Q12" i="1" s="1"/>
  <c r="O13" i="1"/>
  <c r="P13" i="1" s="1"/>
  <c r="Q13" i="1" s="1"/>
  <c r="O14" i="1"/>
  <c r="P14" i="1" s="1"/>
  <c r="Q14" i="1" s="1"/>
  <c r="O15" i="1"/>
  <c r="P15" i="1" s="1"/>
  <c r="Q15" i="1" s="1"/>
  <c r="O16" i="1"/>
  <c r="P16" i="1" s="1"/>
  <c r="Q16" i="1" s="1"/>
  <c r="O17" i="1"/>
  <c r="P17" i="1" s="1"/>
  <c r="Q17" i="1" s="1"/>
  <c r="O18" i="1"/>
  <c r="P18" i="1" s="1"/>
  <c r="Q18" i="1" s="1"/>
  <c r="O19" i="1"/>
  <c r="P19" i="1" s="1"/>
  <c r="Q19" i="1" s="1"/>
  <c r="O20" i="1"/>
  <c r="P20" i="1" s="1"/>
  <c r="Q20" i="1" s="1"/>
  <c r="O21" i="1"/>
  <c r="P21" i="1" s="1"/>
  <c r="Q21" i="1" s="1"/>
  <c r="O22" i="1"/>
  <c r="P22" i="1" s="1"/>
  <c r="Q22" i="1" s="1"/>
  <c r="O23" i="1"/>
  <c r="P23" i="1" s="1"/>
  <c r="Q23" i="1" s="1"/>
  <c r="O24" i="1"/>
  <c r="P24" i="1" s="1"/>
  <c r="Q24" i="1" s="1"/>
  <c r="O25" i="1"/>
  <c r="P25" i="1" s="1"/>
  <c r="Q25" i="1" s="1"/>
  <c r="O26" i="1"/>
  <c r="P26" i="1" s="1"/>
  <c r="Q26" i="1" s="1"/>
  <c r="O27" i="1"/>
  <c r="P27" i="1" s="1"/>
  <c r="Q27" i="1" s="1"/>
  <c r="O28" i="1"/>
  <c r="P28" i="1" s="1"/>
  <c r="Q28" i="1" s="1"/>
  <c r="O29" i="1"/>
  <c r="P29" i="1" s="1"/>
  <c r="Q29" i="1" s="1"/>
  <c r="O30" i="1"/>
  <c r="P30" i="1" s="1"/>
  <c r="Q30" i="1" s="1"/>
  <c r="O31" i="1"/>
  <c r="P31" i="1" s="1"/>
  <c r="Q31" i="1" s="1"/>
  <c r="O2" i="1"/>
  <c r="P2" i="1" s="1"/>
  <c r="Q2" i="1" s="1"/>
  <c r="R2" i="1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" i="4"/>
  <c r="I2" i="1" a="1"/>
  <c r="I3" i="1" a="1"/>
  <c r="R31" i="1" l="1"/>
  <c r="R25" i="1"/>
  <c r="R13" i="1"/>
  <c r="R24" i="1"/>
  <c r="R29" i="1"/>
  <c r="R17" i="1"/>
  <c r="R5" i="1"/>
  <c r="R23" i="1"/>
  <c r="R11" i="1"/>
  <c r="R7" i="1"/>
  <c r="R18" i="1"/>
  <c r="R12" i="1"/>
  <c r="R28" i="1"/>
  <c r="R16" i="1"/>
  <c r="R4" i="1"/>
  <c r="R22" i="1"/>
  <c r="R10" i="1"/>
  <c r="R19" i="1"/>
  <c r="R6" i="1"/>
  <c r="R27" i="1"/>
  <c r="R15" i="1"/>
  <c r="R3" i="1"/>
  <c r="R21" i="1"/>
  <c r="R9" i="1"/>
  <c r="R30" i="1"/>
  <c r="R26" i="1"/>
  <c r="R14" i="1"/>
  <c r="R20" i="1"/>
  <c r="R8" i="1"/>
  <c r="I2" i="1"/>
  <c r="S3" i="1" s="1"/>
  <c r="I3" i="1"/>
  <c r="S4" i="1" s="1"/>
  <c r="I4" i="1" a="1"/>
  <c r="I4" i="1"/>
  <c r="S5" i="1" s="1"/>
  <c r="I5" i="1" a="1"/>
  <c r="I5" i="1"/>
  <c r="S6" i="1" s="1"/>
  <c r="I6" i="1" a="1"/>
  <c r="I6" i="1"/>
  <c r="S7" i="1" s="1"/>
  <c r="I7" i="1" a="1"/>
  <c r="I7" i="1"/>
  <c r="S8" i="1" s="1"/>
  <c r="I8" i="1" a="1"/>
  <c r="I8" i="1"/>
  <c r="S9" i="1" s="1"/>
  <c r="I9" i="1" a="1"/>
  <c r="I9" i="1"/>
  <c r="S10" i="1" s="1"/>
  <c r="I10" i="1" a="1"/>
  <c r="I10" i="1"/>
  <c r="S11" i="1" s="1"/>
  <c r="I11" i="1" a="1"/>
  <c r="I11" i="1"/>
  <c r="S12" i="1" s="1"/>
  <c r="I12" i="1" a="1"/>
  <c r="I12" i="1" s="1"/>
  <c r="I13" i="1" a="1"/>
  <c r="I13" i="1"/>
  <c r="S14" i="1" s="1"/>
  <c r="I14" i="1" a="1"/>
  <c r="I14" i="1"/>
  <c r="S15" i="1" s="1"/>
  <c r="I15" i="1" a="1"/>
  <c r="I15" i="1"/>
  <c r="S16" i="1" s="1"/>
  <c r="I16" i="1" a="1"/>
  <c r="I16" i="1"/>
  <c r="S17" i="1" s="1"/>
  <c r="I17" i="1" a="1"/>
  <c r="I17" i="1"/>
  <c r="S18" i="1" s="1"/>
  <c r="I18" i="1" a="1"/>
  <c r="I18" i="1"/>
  <c r="S19" i="1" s="1"/>
  <c r="I19" i="1" a="1"/>
  <c r="I19" i="1"/>
  <c r="S20" i="1" s="1"/>
  <c r="I20" i="1" a="1"/>
  <c r="I20" i="1"/>
  <c r="S21" i="1" s="1"/>
  <c r="I21" i="1" a="1"/>
  <c r="I21" i="1"/>
  <c r="S22" i="1" s="1"/>
  <c r="I22" i="1" a="1"/>
  <c r="I22" i="1"/>
  <c r="S23" i="1" s="1"/>
  <c r="I23" i="1" a="1"/>
  <c r="I23" i="1"/>
  <c r="S24" i="1" s="1"/>
  <c r="I24" i="1" a="1"/>
  <c r="I24" i="1"/>
  <c r="S25" i="1" s="1"/>
  <c r="I25" i="1" a="1"/>
  <c r="I25" i="1"/>
  <c r="S26" i="1" s="1"/>
  <c r="I26" i="1" a="1"/>
  <c r="I26" i="1"/>
  <c r="S27" i="1" s="1"/>
  <c r="I27" i="1" a="1"/>
  <c r="I27" i="1"/>
  <c r="S28" i="1" s="1"/>
  <c r="I28" i="1" a="1"/>
  <c r="I28" i="1"/>
  <c r="S29" i="1" s="1"/>
  <c r="I29" i="1" a="1"/>
  <c r="I29" i="1"/>
  <c r="S30" i="1" s="1"/>
  <c r="I30" i="1" a="1"/>
  <c r="I30" i="1"/>
  <c r="S31" i="1" s="1"/>
  <c r="I31" i="1" a="1"/>
  <c r="I3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DCE4DC-8395-4C2E-8D6B-BDF7F7B6DA68}" keepAlive="1" name="Query - transactions_raw" description="Connection to the 'transactions_raw' query in the workbook." type="5" refreshedVersion="8" background="1" saveData="1">
    <dbPr connection="Provider=Microsoft.Mashup.OleDb.1;Data Source=$Workbook$;Location=transactions_raw;Extended Properties=&quot;&quot;" command="SELECT * FROM [transactions_raw]"/>
  </connection>
  <connection id="2" xr16:uid="{16066E97-F3AB-476F-B7CE-0BF8BF05649A}" keepAlive="1" name="Query - transactions_raw (2)" description="Connection to the 'transactions_raw (2)' query in the workbook." type="5" refreshedVersion="8" background="1" saveData="1">
    <dbPr connection="Provider=Microsoft.Mashup.OleDb.1;Data Source=$Workbook$;Location=&quot;transactions_raw (2)&quot;;Extended Properties=&quot;&quot;" command="SELECT * FROM [transactions_raw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<sst xmlns="http://schemas.openxmlformats.org/spreadsheetml/2006/main" count="762" uniqueCount="135">
  <si>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</si>
  <si>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</si>
  <si>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</si>
  <si>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</si>
  <si>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</si>
  <si>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</si>
  <si>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</si>
  <si>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</si>
  <si>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</si>
  <si>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</si>
  <si>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</si>
  <si>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 xml:space="preserve"> alpha mart 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</si>
  <si>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</si>
  <si>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</si>
  <si>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</si>
  <si>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</si>
  <si>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</si>
  <si>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</si>
  <si>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</si>
  <si>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</si>
  <si>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 xml:space="preserve">Captured </t>
  </si>
  <si>
    <t>55</t>
  </si>
  <si>
    <t/>
  </si>
  <si>
    <t>U002</t>
  </si>
  <si>
    <t>Card</t>
  </si>
  <si>
    <t>T003</t>
  </si>
  <si>
    <t xml:space="preserve">BETA STORES </t>
  </si>
  <si>
    <t xml:space="preserve"> CAPTURED</t>
  </si>
  <si>
    <t>71</t>
  </si>
  <si>
    <t xml:space="preserve"> APAC </t>
  </si>
  <si>
    <t>U003</t>
  </si>
  <si>
    <t>NetBanking</t>
  </si>
  <si>
    <t>T004</t>
  </si>
  <si>
    <t>Beta  Stores</t>
  </si>
  <si>
    <t xml:space="preserve"> failed e05 timeout </t>
  </si>
  <si>
    <t>68</t>
  </si>
  <si>
    <t>apac</t>
  </si>
  <si>
    <t>U004</t>
  </si>
  <si>
    <t>T005</t>
  </si>
  <si>
    <t>Alpha Mart</t>
  </si>
  <si>
    <t xml:space="preserve">58 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</si>
  <si>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</si>
  <si>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</si>
  <si>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</si>
  <si>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</si>
  <si>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</si>
  <si>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</si>
  <si>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</si>
  <si>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</si>
  <si>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</si>
  <si>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</si>
  <si>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 xml:space="preserve">59 </t>
  </si>
  <si>
    <t>U007</t>
  </si>
  <si>
    <t>T009</t>
  </si>
  <si>
    <t>46</t>
  </si>
  <si>
    <t>T010</t>
  </si>
  <si>
    <t>Beta Stores</t>
  </si>
  <si>
    <t>risk-77</t>
  </si>
  <si>
    <t>T011</t>
  </si>
  <si>
    <t>FAILED e05 TIMEOUT</t>
  </si>
  <si>
    <t>U008</t>
  </si>
  <si>
    <t>T012</t>
  </si>
  <si>
    <t xml:space="preserve">captured 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</si>
  <si>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</si>
  <si>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</si>
  <si>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</si>
  <si>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</si>
  <si>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</si>
  <si>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</si>
  <si>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</si>
  <si>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</si>
  <si>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</si>
  <si>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</si>
  <si>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</si>
  <si>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</si>
  <si>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</si>
  <si>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</si>
  <si>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</si>
  <si>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</si>
  <si>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 xml:space="preserve"> chargeback </t>
  </si>
  <si>
    <t>risk-86</t>
  </si>
  <si>
    <t>T019</t>
  </si>
  <si>
    <t>score:67</t>
  </si>
  <si>
    <t>T020</t>
  </si>
  <si>
    <t xml:space="preserve">75 </t>
  </si>
  <si>
    <t>T021</t>
  </si>
  <si>
    <t xml:space="preserve"> beta stores</t>
  </si>
  <si>
    <t>score:63</t>
  </si>
  <si>
    <t>T022</t>
  </si>
  <si>
    <t xml:space="preserve">60 </t>
  </si>
  <si>
    <t>T023</t>
  </si>
  <si>
    <t>City Pharma</t>
  </si>
  <si>
    <t>EUR</t>
  </si>
  <si>
    <t>42</t>
  </si>
  <si>
    <t xml:space="preserve"> EU </t>
  </si>
  <si>
    <t>T024</t>
  </si>
  <si>
    <t>Eco Home</t>
  </si>
  <si>
    <t>score:65</t>
  </si>
  <si>
    <t>EU</t>
  </si>
  <si>
    <t>T025</t>
  </si>
  <si>
    <t xml:space="preserve">38 </t>
  </si>
  <si>
    <t>eu</t>
  </si>
  <si>
    <t>T026</t>
  </si>
  <si>
    <t>44</t>
  </si>
  <si>
    <t>T027</t>
  </si>
  <si>
    <t>DELTA TRAVELS</t>
  </si>
  <si>
    <t>USD</t>
  </si>
  <si>
    <t xml:space="preserve">49 </t>
  </si>
  <si>
    <t>us</t>
  </si>
  <si>
    <t>T028</t>
  </si>
  <si>
    <t>Delta Travels</t>
  </si>
  <si>
    <t>risk-41</t>
  </si>
  <si>
    <t>US</t>
  </si>
  <si>
    <t>T029</t>
  </si>
  <si>
    <t xml:space="preserve">delta travels </t>
  </si>
  <si>
    <t>score:58</t>
  </si>
  <si>
    <t>T030</t>
  </si>
  <si>
    <t>score:47</t>
  </si>
  <si>
    <t>merchant_name_clean</t>
  </si>
  <si>
    <t>risk_score_cleaned</t>
  </si>
  <si>
    <t>rate_date</t>
  </si>
  <si>
    <t>usd_rate</t>
  </si>
  <si>
    <t>lookup_key</t>
  </si>
  <si>
    <t>exchange_rate</t>
  </si>
  <si>
    <t>amount_usd</t>
  </si>
  <si>
    <t>high_value_flag</t>
  </si>
  <si>
    <t>gateway_region_clean</t>
  </si>
  <si>
    <t>status_cleaned</t>
  </si>
  <si>
    <t>high_risk_flag</t>
  </si>
  <si>
    <t>failed</t>
  </si>
  <si>
    <t>UNKNOWN</t>
  </si>
  <si>
    <t>Row Labels</t>
  </si>
  <si>
    <t>Grand Total</t>
  </si>
  <si>
    <t>total_transactions</t>
  </si>
  <si>
    <t>total_high_risk_transactions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</si>
</sst>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14009]yyyy/mm/dd;@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g" refreshedDate="46147.967763657405" createdVersion="8" refreshedVersion="8" minRefreshableVersion="3" recordCount="31" xr:uid="{ED698EFF-BC85-43FC-8C22-34CB84C8BB34}">
  <cacheSource type="worksheet">
    <worksheetSource ref="A1:L1048576" sheet="cleaned_transactions"/>
  </cacheSource>
  <cacheFields count="12">
    <cacheField name="transaction_id" numFmtId="0">
      <sharedItems containsBlank="1"/>
    </cacheField>
    <cacheField name="transaction_date" numFmtId="0">
      <sharedItems containsNonDate="0" containsDate="1" containsString="0" containsBlank="1" minDate="2026-03-01T00:00:00" maxDate="2026-03-07T00:00:00"/>
    </cacheField>
    <cacheField name="merchant_name" numFmtId="0">
      <sharedItems containsBlank="1" count="6">
        <s v="Alpha Mart"/>
        <s v="Beta Stores"/>
        <s v="City Pharma"/>
        <s v="Eco Home"/>
        <s v="Delta Travels"/>
        <m/>
      </sharedItems>
    </cacheField>
    <cacheField name="currency" numFmtId="0">
      <sharedItems containsBlank="1"/>
    </cacheField>
    <cacheField name="status" numFmtId="0">
      <sharedItems containsBlank="1"/>
    </cacheField>
    <cacheField name="risk_score" numFmtId="0">
      <sharedItems containsString="0" containsBlank="1" containsNumber="1" containsInteger="1" minValue="0" maxValue="86"/>
    </cacheField>
    <cacheField name="gateway_region" numFmtId="0">
      <sharedItems containsBlank="1"/>
    </cacheField>
    <cacheField name="user_id" numFmtId="0">
      <sharedItems containsBlank="1"/>
    </cacheField>
    <cacheField name="payment_method" numFmtId="0">
      <sharedItems containsBlank="1"/>
    </cacheField>
    <cacheField name="amount_usd" numFmtId="0">
      <sharedItems containsString="0" containsBlank="1" containsNumber="1" minValue="1512.5" maxValue="7381"/>
    </cacheField>
    <cacheField name="high_value_flag" numFmtId="0">
      <sharedItems containsString="0" containsBlank="1" containsNumber="1" containsInteger="1" minValue="0" maxValue="1"/>
    </cacheField>
    <cacheField name="high_risk_flag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T001"/>
    <d v="2026-03-01T00:00:00"/>
    <x v="0"/>
    <s v="INR"/>
    <s v="captured"/>
    <n v="62"/>
    <s v="APAC"/>
    <s v="U001"/>
    <s v="UPI"/>
    <n v="4998"/>
    <n v="0"/>
    <n v="0"/>
  </r>
  <r>
    <s v="T002"/>
    <d v="2026-03-01T00:00:00"/>
    <x v="0"/>
    <s v="INR"/>
    <s v="captured"/>
    <n v="55"/>
    <s v="UNKNOWN"/>
    <s v="U002"/>
    <s v="Card"/>
    <n v="2499"/>
    <n v="0"/>
    <n v="0"/>
  </r>
  <r>
    <s v="T003"/>
    <d v="2026-03-01T00:00:00"/>
    <x v="1"/>
    <s v="INR"/>
    <s v="captured"/>
    <n v="71"/>
    <s v="APAC"/>
    <s v="U003"/>
    <s v="NetBanking"/>
    <n v="6069"/>
    <n v="1"/>
    <n v="1"/>
  </r>
  <r>
    <s v="T004"/>
    <d v="2026-03-02T00:00:00"/>
    <x v="1"/>
    <s v="INR"/>
    <s v="failed"/>
    <n v="68"/>
    <s v="APAC"/>
    <s v="U004"/>
    <s v="Card"/>
    <n v="1920"/>
    <n v="0"/>
    <n v="0"/>
  </r>
  <r>
    <s v="T005"/>
    <d v="2026-03-02T00:00:00"/>
    <x v="0"/>
    <s v="INR"/>
    <s v="captured"/>
    <n v="58"/>
    <s v="UNKNOWN"/>
    <s v="U001"/>
    <s v="UPI"/>
    <n v="4680"/>
    <n v="0"/>
    <n v="0"/>
  </r>
  <r>
    <s v="T006"/>
    <d v="2026-03-02T00:00:00"/>
    <x v="1"/>
    <s v="INR"/>
    <s v="captured"/>
    <n v="64"/>
    <s v="UNKNOWN"/>
    <s v="U005"/>
    <s v="Wallet"/>
    <n v="3300"/>
    <n v="0"/>
    <n v="0"/>
  </r>
  <r>
    <s v="T007"/>
    <d v="2026-03-02T00:00:00"/>
    <x v="0"/>
    <s v="INR"/>
    <s v="chargeback"/>
    <n v="83"/>
    <s v="APAC"/>
    <s v="U006"/>
    <s v="Card"/>
    <n v="5400"/>
    <n v="1"/>
    <n v="1"/>
  </r>
  <r>
    <s v="T008"/>
    <d v="2026-03-03T00:00:00"/>
    <x v="1"/>
    <s v="INR"/>
    <s v="captured"/>
    <n v="59"/>
    <s v="UNKNOWN"/>
    <s v="U007"/>
    <s v="UPI"/>
    <n v="4114"/>
    <n v="0"/>
    <n v="0"/>
  </r>
  <r>
    <s v="T009"/>
    <d v="2026-03-03T00:00:00"/>
    <x v="0"/>
    <s v="INR"/>
    <s v="captured"/>
    <n v="46"/>
    <s v="APAC"/>
    <s v="U002"/>
    <s v="Wallet"/>
    <n v="1512.5"/>
    <n v="0"/>
    <n v="0"/>
  </r>
  <r>
    <s v="T010"/>
    <d v="2026-03-03T00:00:00"/>
    <x v="1"/>
    <s v="INR"/>
    <s v="captured"/>
    <n v="77"/>
    <s v="UNKNOWN"/>
    <s v="U003"/>
    <s v="Card"/>
    <n v="7381"/>
    <n v="0"/>
    <n v="1"/>
  </r>
  <r>
    <s v="T011"/>
    <d v="2026-03-03T00:00:00"/>
    <x v="0"/>
    <s v="INR"/>
    <s v="failed"/>
    <n v="0"/>
    <s v="UNKNOWN"/>
    <s v="U008"/>
    <s v="UPI"/>
    <n v="2359.5"/>
    <n v="0"/>
    <n v="0"/>
  </r>
  <r>
    <s v="T012"/>
    <d v="2026-03-04T00:00:00"/>
    <x v="1"/>
    <s v="INR"/>
    <s v="captured"/>
    <n v="61"/>
    <s v="APAC"/>
    <s v="U009"/>
    <s v="Card"/>
    <n v="3000"/>
    <n v="0"/>
    <n v="0"/>
  </r>
  <r>
    <s v="T013"/>
    <d v="2026-03-04T00:00:00"/>
    <x v="0"/>
    <s v="INR"/>
    <s v="captured"/>
    <n v="54"/>
    <s v="APAC"/>
    <s v="U010"/>
    <s v="UPI"/>
    <n v="3720"/>
    <n v="0"/>
    <n v="0"/>
  </r>
  <r>
    <s v="T014"/>
    <d v="2026-03-04T00:00:00"/>
    <x v="1"/>
    <s v="INR"/>
    <s v="captured"/>
    <n v="73"/>
    <s v="APAC"/>
    <s v="U001"/>
    <s v="NetBanking"/>
    <n v="5640"/>
    <n v="1"/>
    <n v="1"/>
  </r>
  <r>
    <s v="T015"/>
    <d v="2026-03-04T00:00:00"/>
    <x v="0"/>
    <s v="INR"/>
    <s v="captured"/>
    <n v="52"/>
    <s v="UNKNOWN"/>
    <s v="U002"/>
    <s v="Card"/>
    <n v="1560"/>
    <n v="0"/>
    <n v="0"/>
  </r>
  <r>
    <s v="T016"/>
    <d v="2026-03-05T00:00:00"/>
    <x v="1"/>
    <s v="INR"/>
    <s v="failed"/>
    <n v="69"/>
    <s v="UNKNOWN"/>
    <s v="U008"/>
    <s v="Card"/>
    <n v="2596"/>
    <n v="0"/>
    <n v="0"/>
  </r>
  <r>
    <s v="T017"/>
    <d v="2026-03-05T00:00:00"/>
    <x v="1"/>
    <s v="INR"/>
    <s v="failed"/>
    <n v="72"/>
    <s v="APAC"/>
    <s v="U008"/>
    <s v="Card"/>
    <n v="2124"/>
    <n v="0"/>
    <n v="1"/>
  </r>
  <r>
    <s v="T018"/>
    <d v="2026-03-05T00:00:00"/>
    <x v="1"/>
    <s v="INR"/>
    <s v="chargeback"/>
    <n v="86"/>
    <s v="APAC"/>
    <s v="U008"/>
    <s v="UPI"/>
    <n v="1711"/>
    <n v="0"/>
    <n v="1"/>
  </r>
  <r>
    <s v="T019"/>
    <d v="2026-03-05T00:00:00"/>
    <x v="0"/>
    <s v="INR"/>
    <s v="failed"/>
    <n v="67"/>
    <s v="APAC"/>
    <s v="U008"/>
    <s v="Wallet"/>
    <n v="3068"/>
    <n v="0"/>
    <n v="0"/>
  </r>
  <r>
    <s v="T020"/>
    <d v="2026-03-05T00:00:00"/>
    <x v="0"/>
    <s v="INR"/>
    <s v="captured"/>
    <n v="75"/>
    <s v="APAC"/>
    <s v="U005"/>
    <s v="UPI"/>
    <n v="6136"/>
    <n v="1"/>
    <n v="1"/>
  </r>
  <r>
    <s v="T021"/>
    <d v="2026-03-06T00:00:00"/>
    <x v="1"/>
    <s v="INR"/>
    <s v="captured"/>
    <n v="63"/>
    <s v="UNKNOWN"/>
    <s v="U006"/>
    <s v="Card"/>
    <n v="3927.0000000000005"/>
    <n v="0"/>
    <n v="0"/>
  </r>
  <r>
    <s v="T022"/>
    <d v="2026-03-06T00:00:00"/>
    <x v="0"/>
    <s v="INR"/>
    <s v="captured"/>
    <n v="60"/>
    <s v="APAC"/>
    <s v="U007"/>
    <s v="UPI"/>
    <n v="4879"/>
    <n v="0"/>
    <n v="0"/>
  </r>
  <r>
    <s v="T023"/>
    <d v="2026-03-01T00:00:00"/>
    <x v="2"/>
    <s v="EUR"/>
    <s v="captured"/>
    <n v="42"/>
    <s v="EU"/>
    <s v="U003"/>
    <s v="Card"/>
    <n v="5616"/>
    <n v="0"/>
    <n v="0"/>
  </r>
  <r>
    <s v="T024"/>
    <d v="2026-03-02T00:00:00"/>
    <x v="3"/>
    <s v="EUR"/>
    <s v="chargeback"/>
    <n v="65"/>
    <s v="EU"/>
    <s v="U004"/>
    <s v="Card"/>
    <n v="6649.0000000000009"/>
    <n v="1"/>
    <n v="1"/>
  </r>
  <r>
    <s v="T025"/>
    <d v="2026-03-03T00:00:00"/>
    <x v="2"/>
    <s v="EUR"/>
    <s v="captured"/>
    <n v="38"/>
    <s v="EU"/>
    <s v="U005"/>
    <s v="Wallet"/>
    <n v="3024"/>
    <n v="0"/>
    <n v="0"/>
  </r>
  <r>
    <s v="T026"/>
    <d v="2026-03-05T00:00:00"/>
    <x v="3"/>
    <s v="EUR"/>
    <s v="failed"/>
    <n v="44"/>
    <s v="EU"/>
    <s v="U006"/>
    <s v="NetBanking"/>
    <n v="3597.0000000000005"/>
    <n v="0"/>
    <n v="0"/>
  </r>
  <r>
    <s v="T027"/>
    <d v="2026-03-01T00:00:00"/>
    <x v="4"/>
    <s v="USD"/>
    <s v="captured"/>
    <n v="49"/>
    <s v="US"/>
    <s v="U007"/>
    <s v="Card"/>
    <n v="7200"/>
    <n v="1"/>
    <n v="0"/>
  </r>
  <r>
    <s v="T028"/>
    <d v="2026-03-02T00:00:00"/>
    <x v="4"/>
    <s v="USD"/>
    <s v="captured"/>
    <n v="41"/>
    <s v="US"/>
    <s v="U008"/>
    <s v="Card"/>
    <n v="3100"/>
    <n v="0"/>
    <n v="0"/>
  </r>
  <r>
    <s v="T029"/>
    <d v="2026-03-04T00:00:00"/>
    <x v="4"/>
    <s v="USD"/>
    <s v="chargeback"/>
    <n v="58"/>
    <s v="US"/>
    <s v="U009"/>
    <s v="Wallet"/>
    <n v="2500"/>
    <n v="0"/>
    <n v="1"/>
  </r>
  <r>
    <s v="T030"/>
    <d v="2026-03-06T00:00:00"/>
    <x v="4"/>
    <s v="USD"/>
    <s v="failed"/>
    <n v="47"/>
    <s v="US"/>
    <s v="U010"/>
    <s v="UPI"/>
    <n v="1800"/>
    <n v="0"/>
    <n v="0"/>
  </r>
  <r>
    <m/>
    <m/>
    <x v="5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81BEF-70DB-4A74-884B-66D377FDCA4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2">
    <pivotField dataField="1" showAll="0"/>
    <pivotField showAll="0"/>
    <pivotField axis="axisRow" showAll="0">
      <items count="7">
        <item x="0"/>
        <item x="1"/>
        <item x="2"/>
        <item x="4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transactions" fld="0" subtotal="count" baseField="0" baseItem="0"/>
    <dataField name="total_high_risk_transaction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66D4CC-D7CE-4375-9B8A-58CC4A7484AE}" autoFormatId="16" applyNumberFormats="0" applyBorderFormats="0" applyFontFormats="0" applyPatternFormats="0" applyAlignmentFormats="0" applyWidthHeightFormats="0">
  <queryTableRefresh nextId="11">
    <queryTableFields count="10">
      <queryTableField id="1" name="transaction_id" tableColumnId="1"/>
      <queryTableField id="2" name="transaction_date" tableColumnId="2"/>
      <queryTableField id="3" name="merchant_name" tableColumnId="3"/>
      <queryTableField id="4" name="raw_amount" tableColumnId="4"/>
      <queryTableField id="5" name="currency" tableColumnId="5"/>
      <queryTableField id="6" name="status" tableColumnId="6"/>
      <queryTableField id="7" name="risk_score" tableColumnId="7"/>
      <queryTableField id="8" name="gateway_region" tableColumnId="8"/>
      <queryTableField id="9" name="user_id" tableColumnId="9"/>
      <queryTableField id="10" name="payment_metho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13E6338-10DB-4A8A-BEC0-86451645138A}" autoFormatId="16" applyNumberFormats="0" applyBorderFormats="0" applyFontFormats="0" applyPatternFormats="0" applyAlignmentFormats="0" applyWidthHeightFormats="0">
  <queryTableRefresh nextId="22" unboundColumnsRight="5">
    <queryTableFields count="19">
      <queryTableField id="1" name="transaction_id" tableColumnId="1"/>
      <queryTableField id="2" name="transaction_date" tableColumnId="2"/>
      <queryTableField id="11" dataBound="0" tableColumnId="11"/>
      <queryTableField id="3" name="merchant_name" tableColumnId="3"/>
      <queryTableField id="4" name="raw_amount" tableColumnId="4"/>
      <queryTableField id="5" name="currency" tableColumnId="5"/>
      <queryTableField id="20" dataBound="0" tableColumnId="21"/>
      <queryTableField id="6" name="status" tableColumnId="6"/>
      <queryTableField id="13" dataBound="0" tableColumnId="14"/>
      <queryTableField id="7" name="risk_score" tableColumnId="7"/>
      <queryTableField id="19" dataBound="0" tableColumnId="20"/>
      <queryTableField id="8" name="gateway_region" tableColumnId="8"/>
      <queryTableField id="9" name="user_id" tableColumnId="9"/>
      <queryTableField id="10" name="payment_method" tableColumnId="10"/>
      <queryTableField id="15" dataBound="0" tableColumnId="16"/>
      <queryTableField id="16" dataBound="0" tableColumnId="17"/>
      <queryTableField id="17" dataBound="0" tableColumnId="18"/>
      <queryTableField id="18" dataBound="0" tableColumnId="19"/>
      <queryTableField id="21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2E7AC7-18AB-4315-A1EE-D654B085D3CB}" name="transactions_raw" displayName="transactions_raw" ref="A1:J31" tableType="queryTable" totalsRowShown="0">
  <autoFilter ref="A1:J31" xr:uid="{182E7AC7-18AB-4315-A1EE-D654B085D3CB}"/>
  <tableColumns count="10">
    <tableColumn id="1" xr3:uid="{8718A087-6480-4C11-A605-B67D48C7B24C}" uniqueName="1" name="transaction_id" queryTableFieldId="1" dataDxfId="26"/>
    <tableColumn id="2" xr3:uid="{DA7C47C3-2318-440A-B83A-191449125A35}" uniqueName="2" name="transaction_date" queryTableFieldId="2" dataDxfId="25"/>
    <tableColumn id="3" xr3:uid="{6EB66A7E-BFA7-4F22-B912-F0753CCEFBF5}" uniqueName="3" name="merchant_name" queryTableFieldId="3" dataDxfId="24"/>
    <tableColumn id="4" xr3:uid="{3C5968B1-128F-43C8-8120-D7BE720A7EBE}" uniqueName="4" name="raw_amount" queryTableFieldId="4"/>
    <tableColumn id="5" xr3:uid="{2C5E056A-3F77-4AF5-83B8-EC93F370DF4A}" uniqueName="5" name="currency" queryTableFieldId="5" dataDxfId="23"/>
    <tableColumn id="6" xr3:uid="{2C708A15-E299-4425-905B-CA8895F19265}" uniqueName="6" name="status" queryTableFieldId="6" dataDxfId="22"/>
    <tableColumn id="7" xr3:uid="{DB301EBC-375B-4D87-84C5-BD6632304111}" uniqueName="7" name="risk_score" queryTableFieldId="7" dataDxfId="21"/>
    <tableColumn id="8" xr3:uid="{3DE4808A-4761-4626-BA37-158CF5E6FDF2}" uniqueName="8" name="gateway_region" queryTableFieldId="8" dataDxfId="20"/>
    <tableColumn id="9" xr3:uid="{0ACDBBAB-1663-4646-B351-285DC8A00B33}" uniqueName="9" name="user_id" queryTableFieldId="9" dataDxfId="19"/>
    <tableColumn id="10" xr3:uid="{F90CAB13-CD56-46E7-8571-6DE4AD30C781}" uniqueName="10" name="payment_method" queryTableFieldId="1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DEFC6F-8853-4B05-9708-39C145DA2C43}" name="transactions_raw3" displayName="transactions_raw3" ref="A1:S31" tableType="queryTable" totalsRowShown="0">
  <autoFilter ref="A1:S31" xr:uid="{63DEFC6F-8853-4B05-9708-39C145DA2C43}"/>
  <tableColumns count="19">
    <tableColumn id="1" xr3:uid="{612AF75E-61D4-4CD9-A686-97020864BD06}" uniqueName="1" name="transaction_id" queryTableFieldId="1" dataDxfId="17"/>
    <tableColumn id="2" xr3:uid="{E336B054-4721-4126-B2C3-D790900CA87F}" uniqueName="2" name="transaction_date" queryTableFieldId="2" dataDxfId="8"/>
    <tableColumn id="11" xr3:uid="{1DD80EDF-08AB-45E7-AD68-2E3214883F7B}" uniqueName="11" name="merchant_name_clean" queryTableFieldId="11" dataDxfId="9">
      <calculatedColumnFormula>PROPER(TRIM(CLEAN(transactions_raw3[[#This Row],[merchant_name]])))</calculatedColumnFormula>
    </tableColumn>
    <tableColumn id="3" xr3:uid="{850613C8-D401-4425-81D3-C7C08EC9023D}" uniqueName="3" name="merchant_name" queryTableFieldId="3" dataDxfId="16"/>
    <tableColumn id="4" xr3:uid="{6359A9FC-A17D-4E95-972C-370E98377D82}" uniqueName="4" name="raw_amount" queryTableFieldId="4"/>
    <tableColumn id="5" xr3:uid="{9C7DD8A8-D5AA-452C-915B-7E37FFE5A0FE}" uniqueName="5" name="currency" queryTableFieldId="5" dataDxfId="15"/>
    <tableColumn id="21" xr3:uid="{14BC2855-FA24-4D71-ABC7-33C6333E5E81}" uniqueName="21" name="status_cleaned" queryTableFieldId="20" dataDxfId="1">
      <calculatedColumnFormula>IF(ISNUMBER(SEARCH("captured",H2)),"captured",
IF(ISNUMBER(SEARCH("fail",H2)),"failed",
IF(ISNUMBER(SEARCH("chargeback",H2)),"chargeback","unknown")))</calculatedColumnFormula>
    </tableColumn>
    <tableColumn id="6" xr3:uid="{56A277A7-A6EC-4787-9622-FC756DB308AC}" uniqueName="6" name="status" queryTableFieldId="6" dataDxfId="14"/>
    <tableColumn id="14" xr3:uid="{D4911490-D5A1-4133-873E-7C24B1D6D201}" uniqueName="14" name="risk_score_cleaned" queryTableFieldId="13" dataDxfId="7">
      <calculatedColumnFormula array="1">VALUE(_xlfn.TEXTJOIN("",TRUE,IF(ISNUMBER(MID(J2,ROW(INDIRECT("1:50")),1)*1),
MID(J2,ROW(INDIRECT("1:50")),1),"")))</calculatedColumnFormula>
    </tableColumn>
    <tableColumn id="7" xr3:uid="{917F2C0B-F637-479B-9DCB-25533BA0ABFB}" uniqueName="7" name="risk_score" queryTableFieldId="7" dataDxfId="13"/>
    <tableColumn id="20" xr3:uid="{AE81EFC3-A86F-4A6F-9E83-2D91DDDA0932}" uniqueName="20" name="gateway_region_clean" queryTableFieldId="19" dataDxfId="3">
      <calculatedColumnFormula>IF(TRIM(L2)="","UNKNOWN",UPPER(TRIM(L2)))</calculatedColumnFormula>
    </tableColumn>
    <tableColumn id="8" xr3:uid="{E584B17E-80AE-4769-8E4E-75CA8A776F2D}" uniqueName="8" name="gateway_region" queryTableFieldId="8" dataDxfId="12"/>
    <tableColumn id="9" xr3:uid="{11B16197-CD43-449E-A2D0-F816BD8139B2}" uniqueName="9" name="user_id" queryTableFieldId="9" dataDxfId="11"/>
    <tableColumn id="10" xr3:uid="{82700585-AE5E-4B98-B44F-E52F7C6AA14C}" uniqueName="10" name="payment_method" queryTableFieldId="10" dataDxfId="10"/>
    <tableColumn id="16" xr3:uid="{17BC095E-E154-40CD-90BB-778B55380591}" uniqueName="16" name="lookup_key" queryTableFieldId="15" dataDxfId="6">
      <calculatedColumnFormula>TEXT(B2,"yyyy-mm-dd") &amp; "_" &amp; TRIM(F2)</calculatedColumnFormula>
    </tableColumn>
    <tableColumn id="17" xr3:uid="{DAD9B70D-57F4-4CE3-8E21-62BF691C837C}" uniqueName="17" name="exchange_rate" queryTableFieldId="16" dataDxfId="5">
      <calculatedColumnFormula>_xlfn.XLOOKUP(TRIM(O2), exchange_rates!D:D, exchange_rates!C:C)</calculatedColumnFormula>
    </tableColumn>
    <tableColumn id="18" xr3:uid="{8E90E239-8D61-49D2-9AD3-9CADE4683BA5}" uniqueName="18" name="amount_usd" queryTableFieldId="17" dataDxfId="4">
      <calculatedColumnFormula>E2 * P2</calculatedColumnFormula>
    </tableColumn>
    <tableColumn id="19" xr3:uid="{14985604-CC7B-4827-BB1B-EAEBD1D43F78}" uniqueName="19" name="high_value_flag" queryTableFieldId="18" dataDxfId="2">
      <calculatedColumnFormula>IF(AND(K2="APAC",Q2&gt;5000),1,
IF(AND(K2="EU",Q2&gt;6000),1,
IF(AND(K2="US",Q2&gt;7000),1,0)))</calculatedColumnFormula>
    </tableColumn>
    <tableColumn id="22" xr3:uid="{853A3021-1C23-448C-8D7E-716D7314161D}" uniqueName="22" name="high_risk_flag" queryTableFieldId="21" dataDxfId="0">
      <calculatedColumnFormula>IF(OR(I1&gt;=70,G1="chargeback"),1,0)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AFEAD-0163-4AC0-9B36-9B74910AFCBB}">
  <dimension ref="A1:J31"/>
  <sheetViews>
    <sheetView workbookViewId="0">
      <selection sqref="A1:XFD1048576"/>
    </sheetView>
  </sheetViews>
  <sheetFormatPr defaultRowHeight="14.5" x14ac:dyDescent="0.35"/>
  <cols>
    <col min="1" max="1" width="15.26953125" bestFit="1" customWidth="1"/>
    <col min="2" max="2" width="17.54296875" bestFit="1" customWidth="1"/>
    <col min="3" max="3" width="17" bestFit="1" customWidth="1"/>
    <col min="4" max="4" width="13.90625" bestFit="1" customWidth="1"/>
    <col min="5" max="5" width="10.26953125" bestFit="1" customWidth="1"/>
    <col min="6" max="6" width="18.54296875" bestFit="1" customWidth="1"/>
    <col min="7" max="7" width="11.54296875" bestFit="1" customWidth="1"/>
    <col min="8" max="8" width="16.453125" bestFit="1" customWidth="1"/>
    <col min="9" max="9" width="9.26953125" bestFit="1" customWidth="1"/>
    <col min="10" max="10" width="18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2">
        <v>46082</v>
      </c>
      <c r="C2" s="1" t="s">
        <v>11</v>
      </c>
      <c r="D2">
        <v>420000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35">
      <c r="A3" s="1" t="s">
        <v>18</v>
      </c>
      <c r="B3" s="2">
        <v>46082</v>
      </c>
      <c r="C3" s="1" t="s">
        <v>19</v>
      </c>
      <c r="D3">
        <v>210000</v>
      </c>
      <c r="E3" s="1" t="s">
        <v>12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</row>
    <row r="4" spans="1:10" x14ac:dyDescent="0.35">
      <c r="A4" s="1" t="s">
        <v>25</v>
      </c>
      <c r="B4" s="2">
        <v>46082</v>
      </c>
      <c r="C4" s="1" t="s">
        <v>26</v>
      </c>
      <c r="D4">
        <v>510000</v>
      </c>
      <c r="E4" s="1" t="s">
        <v>12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</row>
    <row r="5" spans="1:10" x14ac:dyDescent="0.35">
      <c r="A5" s="1" t="s">
        <v>32</v>
      </c>
      <c r="B5" s="2">
        <v>46083</v>
      </c>
      <c r="C5" s="1" t="s">
        <v>33</v>
      </c>
      <c r="D5">
        <v>160000</v>
      </c>
      <c r="E5" s="1" t="s">
        <v>12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24</v>
      </c>
    </row>
    <row r="6" spans="1:10" x14ac:dyDescent="0.35">
      <c r="A6" s="1" t="s">
        <v>38</v>
      </c>
      <c r="B6" s="2">
        <v>46083</v>
      </c>
      <c r="C6" s="1" t="s">
        <v>39</v>
      </c>
      <c r="D6">
        <v>390000</v>
      </c>
      <c r="E6" s="1" t="s">
        <v>12</v>
      </c>
      <c r="F6" s="1" t="s">
        <v>27</v>
      </c>
      <c r="G6" s="1" t="s">
        <v>40</v>
      </c>
      <c r="H6" s="1" t="s">
        <v>22</v>
      </c>
      <c r="I6" s="1" t="s">
        <v>16</v>
      </c>
      <c r="J6" s="1" t="s">
        <v>17</v>
      </c>
    </row>
    <row r="7" spans="1:10" x14ac:dyDescent="0.35">
      <c r="A7" s="1" t="s">
        <v>41</v>
      </c>
      <c r="B7" s="2">
        <v>46083</v>
      </c>
      <c r="C7" s="1" t="s">
        <v>33</v>
      </c>
      <c r="D7">
        <v>275000</v>
      </c>
      <c r="E7" s="1" t="s">
        <v>12</v>
      </c>
      <c r="F7" s="1" t="s">
        <v>20</v>
      </c>
      <c r="G7" s="1" t="s">
        <v>42</v>
      </c>
      <c r="H7" s="1" t="s">
        <v>22</v>
      </c>
      <c r="I7" s="1" t="s">
        <v>43</v>
      </c>
      <c r="J7" s="1" t="s">
        <v>44</v>
      </c>
    </row>
    <row r="8" spans="1:10" x14ac:dyDescent="0.35">
      <c r="A8" s="1" t="s">
        <v>45</v>
      </c>
      <c r="B8" s="2">
        <v>46083</v>
      </c>
      <c r="C8" s="1" t="s">
        <v>46</v>
      </c>
      <c r="D8">
        <v>450000</v>
      </c>
      <c r="E8" s="1" t="s">
        <v>12</v>
      </c>
      <c r="F8" s="1" t="s">
        <v>47</v>
      </c>
      <c r="G8" s="1" t="s">
        <v>48</v>
      </c>
      <c r="H8" s="1" t="s">
        <v>29</v>
      </c>
      <c r="I8" s="1" t="s">
        <v>49</v>
      </c>
      <c r="J8" s="1" t="s">
        <v>24</v>
      </c>
    </row>
    <row r="9" spans="1:10" x14ac:dyDescent="0.35">
      <c r="A9" s="1" t="s">
        <v>50</v>
      </c>
      <c r="B9" s="2">
        <v>46084</v>
      </c>
      <c r="C9" s="1" t="s">
        <v>26</v>
      </c>
      <c r="D9">
        <v>340000</v>
      </c>
      <c r="E9" s="1" t="s">
        <v>12</v>
      </c>
      <c r="F9" s="1" t="s">
        <v>20</v>
      </c>
      <c r="G9" s="1" t="s">
        <v>51</v>
      </c>
      <c r="H9" s="1" t="s">
        <v>22</v>
      </c>
      <c r="I9" s="1" t="s">
        <v>52</v>
      </c>
      <c r="J9" s="1" t="s">
        <v>17</v>
      </c>
    </row>
    <row r="10" spans="1:10" x14ac:dyDescent="0.35">
      <c r="A10" s="1" t="s">
        <v>53</v>
      </c>
      <c r="B10" s="2">
        <v>46084</v>
      </c>
      <c r="C10" s="1" t="s">
        <v>39</v>
      </c>
      <c r="D10">
        <v>125000</v>
      </c>
      <c r="E10" s="1" t="s">
        <v>12</v>
      </c>
      <c r="F10" s="1" t="s">
        <v>13</v>
      </c>
      <c r="G10" s="1" t="s">
        <v>54</v>
      </c>
      <c r="H10" s="1" t="s">
        <v>15</v>
      </c>
      <c r="I10" s="1" t="s">
        <v>23</v>
      </c>
      <c r="J10" s="1" t="s">
        <v>44</v>
      </c>
    </row>
    <row r="11" spans="1:10" x14ac:dyDescent="0.35">
      <c r="A11" s="1" t="s">
        <v>55</v>
      </c>
      <c r="B11" s="2">
        <v>46084</v>
      </c>
      <c r="C11" s="1" t="s">
        <v>56</v>
      </c>
      <c r="D11">
        <v>610000</v>
      </c>
      <c r="E11" s="1" t="s">
        <v>12</v>
      </c>
      <c r="F11" s="1" t="s">
        <v>13</v>
      </c>
      <c r="G11" s="1" t="s">
        <v>57</v>
      </c>
      <c r="H11" s="1" t="s">
        <v>22</v>
      </c>
      <c r="I11" s="1" t="s">
        <v>30</v>
      </c>
      <c r="J11" s="1" t="s">
        <v>24</v>
      </c>
    </row>
    <row r="12" spans="1:10" x14ac:dyDescent="0.35">
      <c r="A12" s="1" t="s">
        <v>58</v>
      </c>
      <c r="B12" s="2">
        <v>46084</v>
      </c>
      <c r="C12" s="1" t="s">
        <v>46</v>
      </c>
      <c r="D12">
        <v>195000</v>
      </c>
      <c r="E12" s="1" t="s">
        <v>12</v>
      </c>
      <c r="F12" s="1" t="s">
        <v>59</v>
      </c>
      <c r="G12" s="1" t="s">
        <v>22</v>
      </c>
      <c r="H12" s="1" t="s">
        <v>22</v>
      </c>
      <c r="I12" s="1" t="s">
        <v>60</v>
      </c>
      <c r="J12" s="1" t="s">
        <v>17</v>
      </c>
    </row>
    <row r="13" spans="1:10" x14ac:dyDescent="0.35">
      <c r="A13" s="1" t="s">
        <v>61</v>
      </c>
      <c r="B13" s="2">
        <v>46085</v>
      </c>
      <c r="C13" s="1" t="s">
        <v>33</v>
      </c>
      <c r="D13">
        <v>250000</v>
      </c>
      <c r="E13" s="1" t="s">
        <v>12</v>
      </c>
      <c r="F13" s="1" t="s">
        <v>62</v>
      </c>
      <c r="G13" s="1" t="s">
        <v>63</v>
      </c>
      <c r="H13" s="1" t="s">
        <v>29</v>
      </c>
      <c r="I13" s="1" t="s">
        <v>64</v>
      </c>
      <c r="J13" s="1" t="s">
        <v>24</v>
      </c>
    </row>
    <row r="14" spans="1:10" x14ac:dyDescent="0.35">
      <c r="A14" s="1" t="s">
        <v>65</v>
      </c>
      <c r="B14" s="2">
        <v>46085</v>
      </c>
      <c r="C14" s="1" t="s">
        <v>11</v>
      </c>
      <c r="D14">
        <v>310000</v>
      </c>
      <c r="E14" s="1" t="s">
        <v>12</v>
      </c>
      <c r="F14" s="1" t="s">
        <v>62</v>
      </c>
      <c r="G14" s="1" t="s">
        <v>66</v>
      </c>
      <c r="H14" s="1" t="s">
        <v>15</v>
      </c>
      <c r="I14" s="1" t="s">
        <v>67</v>
      </c>
      <c r="J14" s="1" t="s">
        <v>17</v>
      </c>
    </row>
    <row r="15" spans="1:10" x14ac:dyDescent="0.35">
      <c r="A15" s="1" t="s">
        <v>68</v>
      </c>
      <c r="B15" s="2">
        <v>46085</v>
      </c>
      <c r="C15" s="1" t="s">
        <v>33</v>
      </c>
      <c r="D15">
        <v>470000</v>
      </c>
      <c r="E15" s="1" t="s">
        <v>12</v>
      </c>
      <c r="F15" s="1" t="s">
        <v>62</v>
      </c>
      <c r="G15" s="1" t="s">
        <v>69</v>
      </c>
      <c r="H15" s="1" t="s">
        <v>15</v>
      </c>
      <c r="I15" s="1" t="s">
        <v>16</v>
      </c>
      <c r="J15" s="1" t="s">
        <v>31</v>
      </c>
    </row>
    <row r="16" spans="1:10" x14ac:dyDescent="0.35">
      <c r="A16" s="1" t="s">
        <v>70</v>
      </c>
      <c r="B16" s="2">
        <v>46085</v>
      </c>
      <c r="C16" s="1" t="s">
        <v>39</v>
      </c>
      <c r="D16">
        <v>130000</v>
      </c>
      <c r="E16" s="1" t="s">
        <v>12</v>
      </c>
      <c r="F16" s="1" t="s">
        <v>13</v>
      </c>
      <c r="G16" s="1" t="s">
        <v>71</v>
      </c>
      <c r="H16" s="1" t="s">
        <v>22</v>
      </c>
      <c r="I16" s="1" t="s">
        <v>23</v>
      </c>
      <c r="J16" s="1" t="s">
        <v>24</v>
      </c>
    </row>
    <row r="17" spans="1:10" x14ac:dyDescent="0.35">
      <c r="A17" s="1" t="s">
        <v>72</v>
      </c>
      <c r="B17" s="2">
        <v>46086</v>
      </c>
      <c r="C17" s="1" t="s">
        <v>33</v>
      </c>
      <c r="D17">
        <v>220000</v>
      </c>
      <c r="E17" s="1" t="s">
        <v>12</v>
      </c>
      <c r="F17" s="1" t="s">
        <v>73</v>
      </c>
      <c r="G17" s="1" t="s">
        <v>74</v>
      </c>
      <c r="H17" s="1" t="s">
        <v>22</v>
      </c>
      <c r="I17" s="1" t="s">
        <v>60</v>
      </c>
      <c r="J17" s="1" t="s">
        <v>24</v>
      </c>
    </row>
    <row r="18" spans="1:10" x14ac:dyDescent="0.35">
      <c r="A18" s="1" t="s">
        <v>75</v>
      </c>
      <c r="B18" s="2">
        <v>46086</v>
      </c>
      <c r="C18" s="1" t="s">
        <v>33</v>
      </c>
      <c r="D18">
        <v>180000</v>
      </c>
      <c r="E18" s="1" t="s">
        <v>12</v>
      </c>
      <c r="F18" s="1" t="s">
        <v>76</v>
      </c>
      <c r="G18" s="1" t="s">
        <v>77</v>
      </c>
      <c r="H18" s="1" t="s">
        <v>36</v>
      </c>
      <c r="I18" s="1" t="s">
        <v>60</v>
      </c>
      <c r="J18" s="1" t="s">
        <v>24</v>
      </c>
    </row>
    <row r="19" spans="1:10" x14ac:dyDescent="0.35">
      <c r="A19" s="1" t="s">
        <v>78</v>
      </c>
      <c r="B19" s="2">
        <v>46086</v>
      </c>
      <c r="C19" s="1" t="s">
        <v>26</v>
      </c>
      <c r="D19">
        <v>145000</v>
      </c>
      <c r="E19" s="1" t="s">
        <v>12</v>
      </c>
      <c r="F19" s="1" t="s">
        <v>79</v>
      </c>
      <c r="G19" s="1" t="s">
        <v>80</v>
      </c>
      <c r="H19" s="1" t="s">
        <v>29</v>
      </c>
      <c r="I19" s="1" t="s">
        <v>60</v>
      </c>
      <c r="J19" s="1" t="s">
        <v>17</v>
      </c>
    </row>
    <row r="20" spans="1:10" x14ac:dyDescent="0.35">
      <c r="A20" s="1" t="s">
        <v>81</v>
      </c>
      <c r="B20" s="2">
        <v>46086</v>
      </c>
      <c r="C20" s="1" t="s">
        <v>46</v>
      </c>
      <c r="D20">
        <v>260000</v>
      </c>
      <c r="E20" s="1" t="s">
        <v>12</v>
      </c>
      <c r="F20" s="1" t="s">
        <v>76</v>
      </c>
      <c r="G20" s="1" t="s">
        <v>82</v>
      </c>
      <c r="H20" s="1" t="s">
        <v>36</v>
      </c>
      <c r="I20" s="1" t="s">
        <v>60</v>
      </c>
      <c r="J20" s="1" t="s">
        <v>44</v>
      </c>
    </row>
    <row r="21" spans="1:10" x14ac:dyDescent="0.35">
      <c r="A21" s="1" t="s">
        <v>83</v>
      </c>
      <c r="B21" s="2">
        <v>46086</v>
      </c>
      <c r="C21" s="1" t="s">
        <v>39</v>
      </c>
      <c r="D21">
        <v>520000</v>
      </c>
      <c r="E21" s="1" t="s">
        <v>12</v>
      </c>
      <c r="F21" s="1" t="s">
        <v>20</v>
      </c>
      <c r="G21" s="1" t="s">
        <v>84</v>
      </c>
      <c r="H21" s="1" t="s">
        <v>15</v>
      </c>
      <c r="I21" s="1" t="s">
        <v>43</v>
      </c>
      <c r="J21" s="1" t="s">
        <v>17</v>
      </c>
    </row>
    <row r="22" spans="1:10" x14ac:dyDescent="0.35">
      <c r="A22" s="1" t="s">
        <v>85</v>
      </c>
      <c r="B22" s="2">
        <v>46087</v>
      </c>
      <c r="C22" s="1" t="s">
        <v>86</v>
      </c>
      <c r="D22">
        <v>330000</v>
      </c>
      <c r="E22" s="1" t="s">
        <v>12</v>
      </c>
      <c r="F22" s="1" t="s">
        <v>62</v>
      </c>
      <c r="G22" s="1" t="s">
        <v>87</v>
      </c>
      <c r="H22" s="1" t="s">
        <v>22</v>
      </c>
      <c r="I22" s="1" t="s">
        <v>49</v>
      </c>
      <c r="J22" s="1" t="s">
        <v>24</v>
      </c>
    </row>
    <row r="23" spans="1:10" x14ac:dyDescent="0.35">
      <c r="A23" s="1" t="s">
        <v>88</v>
      </c>
      <c r="B23" s="2">
        <v>46087</v>
      </c>
      <c r="C23" s="1" t="s">
        <v>19</v>
      </c>
      <c r="D23">
        <v>410000</v>
      </c>
      <c r="E23" s="1" t="s">
        <v>12</v>
      </c>
      <c r="F23" s="1" t="s">
        <v>62</v>
      </c>
      <c r="G23" s="1" t="s">
        <v>89</v>
      </c>
      <c r="H23" s="1" t="s">
        <v>15</v>
      </c>
      <c r="I23" s="1" t="s">
        <v>52</v>
      </c>
      <c r="J23" s="1" t="s">
        <v>17</v>
      </c>
    </row>
    <row r="24" spans="1:10" x14ac:dyDescent="0.35">
      <c r="A24" s="1" t="s">
        <v>90</v>
      </c>
      <c r="B24" s="2">
        <v>46082</v>
      </c>
      <c r="C24" s="1" t="s">
        <v>91</v>
      </c>
      <c r="D24">
        <v>5200</v>
      </c>
      <c r="E24" s="1" t="s">
        <v>92</v>
      </c>
      <c r="F24" s="1" t="s">
        <v>20</v>
      </c>
      <c r="G24" s="1" t="s">
        <v>93</v>
      </c>
      <c r="H24" s="1" t="s">
        <v>94</v>
      </c>
      <c r="I24" s="1" t="s">
        <v>30</v>
      </c>
      <c r="J24" s="1" t="s">
        <v>24</v>
      </c>
    </row>
    <row r="25" spans="1:10" x14ac:dyDescent="0.35">
      <c r="A25" s="1" t="s">
        <v>95</v>
      </c>
      <c r="B25" s="2">
        <v>46083</v>
      </c>
      <c r="C25" s="1" t="s">
        <v>96</v>
      </c>
      <c r="D25">
        <v>6100</v>
      </c>
      <c r="E25" s="1" t="s">
        <v>92</v>
      </c>
      <c r="F25" s="1" t="s">
        <v>79</v>
      </c>
      <c r="G25" s="1" t="s">
        <v>97</v>
      </c>
      <c r="H25" s="1" t="s">
        <v>98</v>
      </c>
      <c r="I25" s="1" t="s">
        <v>37</v>
      </c>
      <c r="J25" s="1" t="s">
        <v>24</v>
      </c>
    </row>
    <row r="26" spans="1:10" x14ac:dyDescent="0.35">
      <c r="A26" s="1" t="s">
        <v>99</v>
      </c>
      <c r="B26" s="2">
        <v>46084</v>
      </c>
      <c r="C26" s="1" t="s">
        <v>91</v>
      </c>
      <c r="D26">
        <v>2800</v>
      </c>
      <c r="E26" s="1" t="s">
        <v>92</v>
      </c>
      <c r="F26" s="1" t="s">
        <v>62</v>
      </c>
      <c r="G26" s="1" t="s">
        <v>100</v>
      </c>
      <c r="H26" s="1" t="s">
        <v>101</v>
      </c>
      <c r="I26" s="1" t="s">
        <v>43</v>
      </c>
      <c r="J26" s="1" t="s">
        <v>44</v>
      </c>
    </row>
    <row r="27" spans="1:10" x14ac:dyDescent="0.35">
      <c r="A27" s="1" t="s">
        <v>102</v>
      </c>
      <c r="B27" s="2">
        <v>46086</v>
      </c>
      <c r="C27" s="1" t="s">
        <v>96</v>
      </c>
      <c r="D27">
        <v>3300</v>
      </c>
      <c r="E27" s="1" t="s">
        <v>92</v>
      </c>
      <c r="F27" s="1" t="s">
        <v>76</v>
      </c>
      <c r="G27" s="1" t="s">
        <v>103</v>
      </c>
      <c r="H27" s="1" t="s">
        <v>94</v>
      </c>
      <c r="I27" s="1" t="s">
        <v>49</v>
      </c>
      <c r="J27" s="1" t="s">
        <v>31</v>
      </c>
    </row>
    <row r="28" spans="1:10" x14ac:dyDescent="0.35">
      <c r="A28" s="1" t="s">
        <v>104</v>
      </c>
      <c r="B28" s="2">
        <v>46082</v>
      </c>
      <c r="C28" s="1" t="s">
        <v>105</v>
      </c>
      <c r="D28">
        <v>7200</v>
      </c>
      <c r="E28" s="1" t="s">
        <v>106</v>
      </c>
      <c r="F28" s="1" t="s">
        <v>62</v>
      </c>
      <c r="G28" s="1" t="s">
        <v>107</v>
      </c>
      <c r="H28" s="1" t="s">
        <v>108</v>
      </c>
      <c r="I28" s="1" t="s">
        <v>52</v>
      </c>
      <c r="J28" s="1" t="s">
        <v>24</v>
      </c>
    </row>
    <row r="29" spans="1:10" x14ac:dyDescent="0.35">
      <c r="A29" s="1" t="s">
        <v>109</v>
      </c>
      <c r="B29" s="2">
        <v>46083</v>
      </c>
      <c r="C29" s="1" t="s">
        <v>110</v>
      </c>
      <c r="D29">
        <v>3100</v>
      </c>
      <c r="E29" s="1" t="s">
        <v>106</v>
      </c>
      <c r="F29" s="1" t="s">
        <v>27</v>
      </c>
      <c r="G29" s="1" t="s">
        <v>111</v>
      </c>
      <c r="H29" s="1" t="s">
        <v>112</v>
      </c>
      <c r="I29" s="1" t="s">
        <v>60</v>
      </c>
      <c r="J29" s="1" t="s">
        <v>24</v>
      </c>
    </row>
    <row r="30" spans="1:10" x14ac:dyDescent="0.35">
      <c r="A30" s="1" t="s">
        <v>113</v>
      </c>
      <c r="B30" s="2">
        <v>46085</v>
      </c>
      <c r="C30" s="1" t="s">
        <v>114</v>
      </c>
      <c r="D30">
        <v>2500</v>
      </c>
      <c r="E30" s="1" t="s">
        <v>106</v>
      </c>
      <c r="F30" s="1" t="s">
        <v>79</v>
      </c>
      <c r="G30" s="1" t="s">
        <v>115</v>
      </c>
      <c r="H30" s="1" t="s">
        <v>112</v>
      </c>
      <c r="I30" s="1" t="s">
        <v>64</v>
      </c>
      <c r="J30" s="1" t="s">
        <v>44</v>
      </c>
    </row>
    <row r="31" spans="1:10" x14ac:dyDescent="0.35">
      <c r="A31" s="1" t="s">
        <v>116</v>
      </c>
      <c r="B31" s="2">
        <v>46087</v>
      </c>
      <c r="C31" s="1" t="s">
        <v>105</v>
      </c>
      <c r="D31">
        <v>1800</v>
      </c>
      <c r="E31" s="1" t="s">
        <v>106</v>
      </c>
      <c r="F31" s="1" t="s">
        <v>76</v>
      </c>
      <c r="G31" s="1" t="s">
        <v>117</v>
      </c>
      <c r="H31" s="1" t="s">
        <v>112</v>
      </c>
      <c r="I31" s="1" t="s">
        <v>67</v>
      </c>
      <c r="J31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D34B-C800-45AB-8F88-A45101EFE925}">
  <dimension ref="A1:S31"/>
  <sheetViews>
    <sheetView topLeftCell="F1" zoomScale="87" zoomScaleNormal="72" workbookViewId="0">
      <selection activeCell="S1" sqref="S1:S1048576"/>
    </sheetView>
  </sheetViews>
  <sheetFormatPr defaultRowHeight="14.5" x14ac:dyDescent="0.35"/>
  <cols>
    <col min="1" max="1" width="15.26953125" bestFit="1" customWidth="1"/>
    <col min="2" max="2" width="17.54296875" style="3" bestFit="1" customWidth="1"/>
    <col min="3" max="3" width="27.453125" customWidth="1"/>
    <col min="4" max="4" width="17" bestFit="1" customWidth="1"/>
    <col min="5" max="5" width="13.90625" bestFit="1" customWidth="1"/>
    <col min="6" max="6" width="10.26953125" bestFit="1" customWidth="1"/>
    <col min="7" max="7" width="10.26953125" customWidth="1"/>
    <col min="8" max="8" width="18.54296875" bestFit="1" customWidth="1"/>
    <col min="9" max="9" width="18.54296875" customWidth="1"/>
    <col min="10" max="10" width="11.54296875" bestFit="1" customWidth="1"/>
    <col min="11" max="11" width="11.54296875" customWidth="1"/>
    <col min="12" max="12" width="16.453125" bestFit="1" customWidth="1"/>
    <col min="13" max="13" width="9.26953125" bestFit="1" customWidth="1"/>
    <col min="14" max="14" width="18.26953125" bestFit="1" customWidth="1"/>
    <col min="15" max="15" width="13.81640625" customWidth="1"/>
    <col min="16" max="16" width="16.453125" customWidth="1"/>
    <col min="18" max="18" width="17" customWidth="1"/>
    <col min="19" max="19" width="14.81640625" customWidth="1"/>
  </cols>
  <sheetData>
    <row r="1" spans="1:19" x14ac:dyDescent="0.35">
      <c r="A1" t="s">
        <v>0</v>
      </c>
      <c r="B1" s="3" t="s">
        <v>1</v>
      </c>
      <c r="C1" t="s">
        <v>118</v>
      </c>
      <c r="D1" t="s">
        <v>2</v>
      </c>
      <c r="E1" t="s">
        <v>3</v>
      </c>
      <c r="F1" t="s">
        <v>4</v>
      </c>
      <c r="G1" t="s">
        <v>127</v>
      </c>
      <c r="H1" t="s">
        <v>5</v>
      </c>
      <c r="I1" t="s">
        <v>119</v>
      </c>
      <c r="J1" t="s">
        <v>6</v>
      </c>
      <c r="K1" t="s">
        <v>126</v>
      </c>
      <c r="L1" t="s">
        <v>7</v>
      </c>
      <c r="M1" t="s">
        <v>8</v>
      </c>
      <c r="N1" t="s">
        <v>9</v>
      </c>
      <c r="O1" t="s">
        <v>122</v>
      </c>
      <c r="P1" t="s">
        <v>123</v>
      </c>
      <c r="Q1" t="s">
        <v>124</v>
      </c>
      <c r="R1" t="s">
        <v>125</v>
      </c>
      <c r="S1" t="s">
        <v>128</v>
      </c>
    </row>
    <row r="2" spans="1:19" x14ac:dyDescent="0.35">
      <c r="A2" s="1" t="s">
        <v>10</v>
      </c>
      <c r="B2" s="3">
        <v>46082</v>
      </c>
      <c r="C2" s="2" t="str">
        <f>PROPER(TRIM(CLEAN(transactions_raw3[[#This Row],[merchant_name]])))</f>
        <v>Alpha Mart</v>
      </c>
      <c r="D2" s="1" t="s">
        <v>11</v>
      </c>
      <c r="E2">
        <v>420000</v>
      </c>
      <c r="F2" s="1" t="s">
        <v>12</v>
      </c>
      <c r="G2" s="1" t="str">
        <f t="shared" ref="G2:G31" si="0">IF(ISNUMBER(SEARCH("captured",H2)),"captured",
IF(ISNUMBER(SEARCH("fail",H2)),"failed",
IF(ISNUMBER(SEARCH("chargeback",H2)),"chargeback","unknown")))</f>
        <v>captured</v>
      </c>
      <c r="H2" s="1" t="s">
        <v>13</v>
      </c>
      <c r="I2" s="1" cm="1">
        <f t="array" aca="1" ref="I2" ca="1">IF(TRIM(J2)="","",
IFERROR(
VALUE(_xlfn.TEXTJOIN("",TRUE,
IF(ISNUMBER(MID(J2,ROW(INDIRECT("1:50")),1)*1),
MID(J2,ROW(INDIRECT("1:50")),1),""))),
""
))</f>
        <v>62</v>
      </c>
      <c r="J2" s="1" t="s">
        <v>14</v>
      </c>
      <c r="K2" s="1" t="str">
        <f t="shared" ref="K2:K31" si="1">IF(TRIM(L2)="","UNKNOWN",UPPER(TRIM(L2)))</f>
        <v>APAC</v>
      </c>
      <c r="L2" s="1" t="s">
        <v>15</v>
      </c>
      <c r="M2" s="1" t="s">
        <v>16</v>
      </c>
      <c r="N2" s="1" t="s">
        <v>17</v>
      </c>
      <c r="O2" s="1" t="str">
        <f>TEXT(B2,"yyyy-mm-dd") &amp; "_" &amp; TRIM(F2)</f>
        <v>2026-03-01_INR</v>
      </c>
      <c r="P2" s="1">
        <f>_xlfn.XLOOKUP(TRIM(O2), exchange_rates!D:D, exchange_rates!C:C)</f>
        <v>1.1900000000000001E-2</v>
      </c>
      <c r="Q2" s="1">
        <f t="shared" ref="Q2:Q31" si="2">E2 * P2</f>
        <v>4998</v>
      </c>
      <c r="R2" s="1">
        <f t="shared" ref="R2:R31" si="3">IF(AND(K2="APAC",Q2&gt;5000),1,
IF(AND(K2="EU",Q2&gt;6000),1,
IF(AND(K2="US",Q2&gt;7000),1,0)))</f>
        <v>0</v>
      </c>
      <c r="S2" s="1">
        <f t="shared" ref="S2:S31" si="4">IF(OR(I1&gt;=70,G1="chargeback"),1,0)</f>
        <v>1</v>
      </c>
    </row>
    <row r="3" spans="1:19" x14ac:dyDescent="0.35">
      <c r="A3" s="1" t="s">
        <v>18</v>
      </c>
      <c r="B3" s="3">
        <v>46082</v>
      </c>
      <c r="C3" s="2" t="str">
        <f>PROPER(TRIM(CLEAN(transactions_raw3[[#This Row],[merchant_name]])))</f>
        <v>Alpha Mart</v>
      </c>
      <c r="D3" s="1" t="s">
        <v>19</v>
      </c>
      <c r="E3">
        <v>210000</v>
      </c>
      <c r="F3" s="1" t="s">
        <v>12</v>
      </c>
      <c r="G3" s="1" t="str">
        <f t="shared" si="0"/>
        <v>captured</v>
      </c>
      <c r="H3" s="1" t="s">
        <v>20</v>
      </c>
      <c r="I3" s="1" cm="1">
        <f t="array" aca="1" ref="I3" ca="1">VALUE(_xlfn.TEXTJOIN("",TRUE,IF(ISNUMBER(MID(J3,ROW(INDIRECT("1:50")),1)*1),
MID(J3,ROW(INDIRECT("1:50")),1),"")))</f>
        <v>55</v>
      </c>
      <c r="J3" s="1" t="s">
        <v>21</v>
      </c>
      <c r="K3" s="1" t="str">
        <f t="shared" si="1"/>
        <v>UNKNOWN</v>
      </c>
      <c r="L3" s="1" t="s">
        <v>22</v>
      </c>
      <c r="M3" s="1" t="s">
        <v>23</v>
      </c>
      <c r="N3" s="1" t="s">
        <v>24</v>
      </c>
      <c r="O3" s="1" t="str">
        <f>TEXT(B3,"yyyy-mm-dd") &amp; "_" &amp; TRIM(F3)</f>
        <v>2026-03-01_INR</v>
      </c>
      <c r="P3" s="1">
        <f>_xlfn.XLOOKUP(TRIM(O3), exchange_rates!D:D, exchange_rates!C:C)</f>
        <v>1.1900000000000001E-2</v>
      </c>
      <c r="Q3" s="1">
        <f t="shared" si="2"/>
        <v>2499</v>
      </c>
      <c r="R3" s="1">
        <f t="shared" si="3"/>
        <v>0</v>
      </c>
      <c r="S3" s="1">
        <f t="shared" ca="1" si="4"/>
        <v>0</v>
      </c>
    </row>
    <row r="4" spans="1:19" x14ac:dyDescent="0.35">
      <c r="A4" s="1" t="s">
        <v>25</v>
      </c>
      <c r="B4" s="3">
        <v>46082</v>
      </c>
      <c r="C4" s="2" t="str">
        <f>PROPER(TRIM(CLEAN(transactions_raw3[[#This Row],[merchant_name]])))</f>
        <v>Beta Stores</v>
      </c>
      <c r="D4" s="1" t="s">
        <v>26</v>
      </c>
      <c r="E4">
        <v>510000</v>
      </c>
      <c r="F4" s="1" t="s">
        <v>12</v>
      </c>
      <c r="G4" s="1" t="str">
        <f t="shared" si="0"/>
        <v>captured</v>
      </c>
      <c r="H4" s="1" t="s">
        <v>27</v>
      </c>
      <c r="I4" s="1" cm="1">
        <f t="array" aca="1" ref="I4" ca="1">VALUE(_xlfn.TEXTJOIN("",TRUE,IF(ISNUMBER(MID(J4,ROW(INDIRECT("1:50")),1)*1),
MID(J4,ROW(INDIRECT("1:50")),1),"")))</f>
        <v>71</v>
      </c>
      <c r="J4" s="1" t="s">
        <v>28</v>
      </c>
      <c r="K4" s="1" t="str">
        <f t="shared" si="1"/>
        <v>APAC</v>
      </c>
      <c r="L4" s="1" t="s">
        <v>29</v>
      </c>
      <c r="M4" s="1" t="s">
        <v>30</v>
      </c>
      <c r="N4" s="1" t="s">
        <v>31</v>
      </c>
      <c r="O4" s="1" t="str">
        <f>TEXT(B4,"yyyy-mm-dd") &amp; "_" &amp; TRIM(F4)</f>
        <v>2026-03-01_INR</v>
      </c>
      <c r="P4" s="1">
        <f>_xlfn.XLOOKUP(TRIM(O4), exchange_rates!D:D, exchange_rates!C:C)</f>
        <v>1.1900000000000001E-2</v>
      </c>
      <c r="Q4" s="1">
        <f t="shared" si="2"/>
        <v>6069</v>
      </c>
      <c r="R4" s="1">
        <f t="shared" si="3"/>
        <v>1</v>
      </c>
      <c r="S4" s="1">
        <f t="shared" ca="1" si="4"/>
        <v>0</v>
      </c>
    </row>
    <row r="5" spans="1:19" x14ac:dyDescent="0.35">
      <c r="A5" s="1" t="s">
        <v>32</v>
      </c>
      <c r="B5" s="3">
        <v>46083</v>
      </c>
      <c r="C5" s="2" t="str">
        <f>PROPER(TRIM(CLEAN(transactions_raw3[[#This Row],[merchant_name]])))</f>
        <v>Beta Stores</v>
      </c>
      <c r="D5" s="1" t="s">
        <v>33</v>
      </c>
      <c r="E5">
        <v>160000</v>
      </c>
      <c r="F5" s="1" t="s">
        <v>12</v>
      </c>
      <c r="G5" s="1" t="str">
        <f t="shared" si="0"/>
        <v>failed</v>
      </c>
      <c r="H5" s="1" t="s">
        <v>34</v>
      </c>
      <c r="I5" s="1" cm="1">
        <f t="array" aca="1" ref="I5" ca="1">VALUE(_xlfn.TEXTJOIN("",TRUE,IF(ISNUMBER(MID(J5,ROW(INDIRECT("1:50")),1)*1),
MID(J5,ROW(INDIRECT("1:50")),1),"")))</f>
        <v>68</v>
      </c>
      <c r="J5" s="1" t="s">
        <v>35</v>
      </c>
      <c r="K5" s="1" t="str">
        <f t="shared" si="1"/>
        <v>APAC</v>
      </c>
      <c r="L5" s="1" t="s">
        <v>36</v>
      </c>
      <c r="M5" s="1" t="s">
        <v>37</v>
      </c>
      <c r="N5" s="1" t="s">
        <v>24</v>
      </c>
      <c r="O5" s="1" t="str">
        <f>TEXT(B5,"yyyy-mm-dd") &amp; "_" &amp; TRIM(F5)</f>
        <v>2026-03-02_INR</v>
      </c>
      <c r="P5" s="1">
        <f>_xlfn.XLOOKUP(TRIM(O5), exchange_rates!D:D, exchange_rates!C:C)</f>
        <v>1.2E-2</v>
      </c>
      <c r="Q5" s="1">
        <f t="shared" si="2"/>
        <v>1920</v>
      </c>
      <c r="R5" s="1">
        <f t="shared" si="3"/>
        <v>0</v>
      </c>
      <c r="S5" s="1">
        <f t="shared" ca="1" si="4"/>
        <v>1</v>
      </c>
    </row>
    <row r="6" spans="1:19" x14ac:dyDescent="0.35">
      <c r="A6" s="1" t="s">
        <v>38</v>
      </c>
      <c r="B6" s="3">
        <v>46083</v>
      </c>
      <c r="C6" s="2" t="str">
        <f>PROPER(TRIM(CLEAN(transactions_raw3[[#This Row],[merchant_name]])))</f>
        <v>Alpha Mart</v>
      </c>
      <c r="D6" s="1" t="s">
        <v>39</v>
      </c>
      <c r="E6">
        <v>390000</v>
      </c>
      <c r="F6" s="1" t="s">
        <v>12</v>
      </c>
      <c r="G6" s="1" t="str">
        <f t="shared" si="0"/>
        <v>captured</v>
      </c>
      <c r="H6" s="1" t="s">
        <v>27</v>
      </c>
      <c r="I6" s="1" cm="1">
        <f t="array" aca="1" ref="I6" ca="1">VALUE(_xlfn.TEXTJOIN("",TRUE,IF(ISNUMBER(MID(J6,ROW(INDIRECT("1:50")),1)*1),
MID(J6,ROW(INDIRECT("1:50")),1),"")))</f>
        <v>58</v>
      </c>
      <c r="J6" s="1" t="s">
        <v>40</v>
      </c>
      <c r="K6" s="1" t="str">
        <f t="shared" si="1"/>
        <v>UNKNOWN</v>
      </c>
      <c r="L6" s="1" t="s">
        <v>22</v>
      </c>
      <c r="M6" s="1" t="s">
        <v>16</v>
      </c>
      <c r="N6" s="1" t="s">
        <v>17</v>
      </c>
      <c r="O6" s="1" t="str">
        <f>TEXT(B6,"yyyy-mm-dd") &amp; "_" &amp; TRIM(F6)</f>
        <v>2026-03-02_INR</v>
      </c>
      <c r="P6" s="1">
        <f>_xlfn.XLOOKUP(TRIM(O6), exchange_rates!D:D, exchange_rates!C:C)</f>
        <v>1.2E-2</v>
      </c>
      <c r="Q6" s="1">
        <f t="shared" si="2"/>
        <v>4680</v>
      </c>
      <c r="R6" s="1">
        <f t="shared" si="3"/>
        <v>0</v>
      </c>
      <c r="S6" s="1">
        <f t="shared" ca="1" si="4"/>
        <v>0</v>
      </c>
    </row>
    <row r="7" spans="1:19" x14ac:dyDescent="0.35">
      <c r="A7" s="1" t="s">
        <v>41</v>
      </c>
      <c r="B7" s="3">
        <v>46083</v>
      </c>
      <c r="C7" s="2" t="str">
        <f>PROPER(TRIM(CLEAN(transactions_raw3[[#This Row],[merchant_name]])))</f>
        <v>Beta Stores</v>
      </c>
      <c r="D7" s="1" t="s">
        <v>33</v>
      </c>
      <c r="E7">
        <v>275000</v>
      </c>
      <c r="F7" s="1" t="s">
        <v>12</v>
      </c>
      <c r="G7" s="1" t="str">
        <f t="shared" si="0"/>
        <v>captured</v>
      </c>
      <c r="H7" s="1" t="s">
        <v>20</v>
      </c>
      <c r="I7" s="1" cm="1">
        <f t="array" aca="1" ref="I7" ca="1">VALUE(_xlfn.TEXTJOIN("",TRUE,IF(ISNUMBER(MID(J7,ROW(INDIRECT("1:50")),1)*1),
MID(J7,ROW(INDIRECT("1:50")),1),"")))</f>
        <v>64</v>
      </c>
      <c r="J7" s="1" t="s">
        <v>42</v>
      </c>
      <c r="K7" s="1" t="str">
        <f t="shared" si="1"/>
        <v>UNKNOWN</v>
      </c>
      <c r="L7" s="1" t="s">
        <v>22</v>
      </c>
      <c r="M7" s="1" t="s">
        <v>43</v>
      </c>
      <c r="N7" s="1" t="s">
        <v>44</v>
      </c>
      <c r="O7" s="1" t="str">
        <f>TEXT(B7,"yyyy-mm-dd") &amp; "_" &amp; TRIM(F7)</f>
        <v>2026-03-02_INR</v>
      </c>
      <c r="P7" s="1">
        <f>_xlfn.XLOOKUP(TRIM(O7), exchange_rates!D:D, exchange_rates!C:C)</f>
        <v>1.2E-2</v>
      </c>
      <c r="Q7" s="1">
        <f t="shared" si="2"/>
        <v>3300</v>
      </c>
      <c r="R7" s="1">
        <f t="shared" si="3"/>
        <v>0</v>
      </c>
      <c r="S7" s="1">
        <f t="shared" ca="1" si="4"/>
        <v>0</v>
      </c>
    </row>
    <row r="8" spans="1:19" x14ac:dyDescent="0.35">
      <c r="A8" s="1" t="s">
        <v>45</v>
      </c>
      <c r="B8" s="3">
        <v>46083</v>
      </c>
      <c r="C8" s="2" t="str">
        <f>PROPER(TRIM(CLEAN(transactions_raw3[[#This Row],[merchant_name]])))</f>
        <v>Alpha Mart</v>
      </c>
      <c r="D8" s="1" t="s">
        <v>46</v>
      </c>
      <c r="E8">
        <v>450000</v>
      </c>
      <c r="F8" s="1" t="s">
        <v>12</v>
      </c>
      <c r="G8" s="1" t="str">
        <f t="shared" si="0"/>
        <v>chargeback</v>
      </c>
      <c r="H8" s="1" t="s">
        <v>47</v>
      </c>
      <c r="I8" s="1" cm="1">
        <f t="array" aca="1" ref="I8" ca="1">VALUE(_xlfn.TEXTJOIN("",TRUE,IF(ISNUMBER(MID(J8,ROW(INDIRECT("1:50")),1)*1),
MID(J8,ROW(INDIRECT("1:50")),1),"")))</f>
        <v>83</v>
      </c>
      <c r="J8" s="1" t="s">
        <v>48</v>
      </c>
      <c r="K8" s="1" t="str">
        <f t="shared" si="1"/>
        <v>APAC</v>
      </c>
      <c r="L8" s="1" t="s">
        <v>29</v>
      </c>
      <c r="M8" s="1" t="s">
        <v>49</v>
      </c>
      <c r="N8" s="1" t="s">
        <v>24</v>
      </c>
      <c r="O8" s="1" t="str">
        <f>TEXT(B8,"yyyy-mm-dd") &amp; "_" &amp; TRIM(F8)</f>
        <v>2026-03-02_INR</v>
      </c>
      <c r="P8" s="1">
        <f>_xlfn.XLOOKUP(TRIM(O8), exchange_rates!D:D, exchange_rates!C:C)</f>
        <v>1.2E-2</v>
      </c>
      <c r="Q8" s="1">
        <f t="shared" si="2"/>
        <v>5400</v>
      </c>
      <c r="R8" s="1">
        <f t="shared" si="3"/>
        <v>1</v>
      </c>
      <c r="S8" s="1">
        <f t="shared" ca="1" si="4"/>
        <v>0</v>
      </c>
    </row>
    <row r="9" spans="1:19" x14ac:dyDescent="0.35">
      <c r="A9" s="1" t="s">
        <v>50</v>
      </c>
      <c r="B9" s="3">
        <v>46084</v>
      </c>
      <c r="C9" s="2" t="str">
        <f>PROPER(TRIM(CLEAN(transactions_raw3[[#This Row],[merchant_name]])))</f>
        <v>Beta Stores</v>
      </c>
      <c r="D9" s="1" t="s">
        <v>26</v>
      </c>
      <c r="E9">
        <v>340000</v>
      </c>
      <c r="F9" s="1" t="s">
        <v>12</v>
      </c>
      <c r="G9" s="1" t="str">
        <f t="shared" si="0"/>
        <v>captured</v>
      </c>
      <c r="H9" s="1" t="s">
        <v>20</v>
      </c>
      <c r="I9" s="1" cm="1">
        <f t="array" aca="1" ref="I9" ca="1">VALUE(_xlfn.TEXTJOIN("",TRUE,IF(ISNUMBER(MID(J9,ROW(INDIRECT("1:50")),1)*1),
MID(J9,ROW(INDIRECT("1:50")),1),"")))</f>
        <v>59</v>
      </c>
      <c r="J9" s="1" t="s">
        <v>51</v>
      </c>
      <c r="K9" s="1" t="str">
        <f t="shared" si="1"/>
        <v>UNKNOWN</v>
      </c>
      <c r="L9" s="1" t="s">
        <v>22</v>
      </c>
      <c r="M9" s="1" t="s">
        <v>52</v>
      </c>
      <c r="N9" s="1" t="s">
        <v>17</v>
      </c>
      <c r="O9" s="1" t="str">
        <f>TEXT(B9,"yyyy-mm-dd") &amp; "_" &amp; TRIM(F9)</f>
        <v>2026-03-03_INR</v>
      </c>
      <c r="P9" s="1">
        <f>_xlfn.XLOOKUP(TRIM(O9), exchange_rates!D:D, exchange_rates!C:C)</f>
        <v>1.21E-2</v>
      </c>
      <c r="Q9" s="1">
        <f t="shared" si="2"/>
        <v>4114</v>
      </c>
      <c r="R9" s="1">
        <f t="shared" si="3"/>
        <v>0</v>
      </c>
      <c r="S9" s="1">
        <f t="shared" ca="1" si="4"/>
        <v>1</v>
      </c>
    </row>
    <row r="10" spans="1:19" x14ac:dyDescent="0.35">
      <c r="A10" s="1" t="s">
        <v>53</v>
      </c>
      <c r="B10" s="3">
        <v>46084</v>
      </c>
      <c r="C10" s="2" t="str">
        <f>PROPER(TRIM(CLEAN(transactions_raw3[[#This Row],[merchant_name]])))</f>
        <v>Alpha Mart</v>
      </c>
      <c r="D10" s="1" t="s">
        <v>39</v>
      </c>
      <c r="E10">
        <v>125000</v>
      </c>
      <c r="F10" s="1" t="s">
        <v>12</v>
      </c>
      <c r="G10" s="1" t="str">
        <f t="shared" si="0"/>
        <v>captured</v>
      </c>
      <c r="H10" s="1" t="s">
        <v>13</v>
      </c>
      <c r="I10" s="1" cm="1">
        <f t="array" aca="1" ref="I10" ca="1">VALUE(_xlfn.TEXTJOIN("",TRUE,IF(ISNUMBER(MID(J10,ROW(INDIRECT("1:50")),1)*1),
MID(J10,ROW(INDIRECT("1:50")),1),"")))</f>
        <v>46</v>
      </c>
      <c r="J10" s="1" t="s">
        <v>54</v>
      </c>
      <c r="K10" s="1" t="str">
        <f t="shared" si="1"/>
        <v>APAC</v>
      </c>
      <c r="L10" s="1" t="s">
        <v>15</v>
      </c>
      <c r="M10" s="1" t="s">
        <v>23</v>
      </c>
      <c r="N10" s="1" t="s">
        <v>44</v>
      </c>
      <c r="O10" s="1" t="str">
        <f>TEXT(B10,"yyyy-mm-dd") &amp; "_" &amp; TRIM(F10)</f>
        <v>2026-03-03_INR</v>
      </c>
      <c r="P10" s="1">
        <f>_xlfn.XLOOKUP(TRIM(O10), exchange_rates!D:D, exchange_rates!C:C)</f>
        <v>1.21E-2</v>
      </c>
      <c r="Q10" s="1">
        <f t="shared" si="2"/>
        <v>1512.5</v>
      </c>
      <c r="R10" s="1">
        <f t="shared" si="3"/>
        <v>0</v>
      </c>
      <c r="S10" s="1">
        <f t="shared" ca="1" si="4"/>
        <v>0</v>
      </c>
    </row>
    <row r="11" spans="1:19" x14ac:dyDescent="0.35">
      <c r="A11" s="1" t="s">
        <v>55</v>
      </c>
      <c r="B11" s="3">
        <v>46084</v>
      </c>
      <c r="C11" s="2" t="str">
        <f>PROPER(TRIM(CLEAN(transactions_raw3[[#This Row],[merchant_name]])))</f>
        <v>Beta Stores</v>
      </c>
      <c r="D11" s="1" t="s">
        <v>56</v>
      </c>
      <c r="E11">
        <v>610000</v>
      </c>
      <c r="F11" s="1" t="s">
        <v>12</v>
      </c>
      <c r="G11" s="1" t="str">
        <f t="shared" si="0"/>
        <v>captured</v>
      </c>
      <c r="H11" s="1" t="s">
        <v>13</v>
      </c>
      <c r="I11" s="1" cm="1">
        <f t="array" aca="1" ref="I11" ca="1">VALUE(_xlfn.TEXTJOIN("",TRUE,IF(ISNUMBER(MID(J11,ROW(INDIRECT("1:50")),1)*1),
MID(J11,ROW(INDIRECT("1:50")),1),"")))</f>
        <v>77</v>
      </c>
      <c r="J11" s="1" t="s">
        <v>57</v>
      </c>
      <c r="K11" s="1" t="str">
        <f t="shared" si="1"/>
        <v>UNKNOWN</v>
      </c>
      <c r="L11" s="1" t="s">
        <v>22</v>
      </c>
      <c r="M11" s="1" t="s">
        <v>30</v>
      </c>
      <c r="N11" s="1" t="s">
        <v>24</v>
      </c>
      <c r="O11" s="1" t="str">
        <f>TEXT(B11,"yyyy-mm-dd") &amp; "_" &amp; TRIM(F11)</f>
        <v>2026-03-03_INR</v>
      </c>
      <c r="P11" s="1">
        <f>_xlfn.XLOOKUP(TRIM(O11), exchange_rates!D:D, exchange_rates!C:C)</f>
        <v>1.21E-2</v>
      </c>
      <c r="Q11" s="1">
        <f t="shared" si="2"/>
        <v>7381</v>
      </c>
      <c r="R11" s="1">
        <f t="shared" si="3"/>
        <v>0</v>
      </c>
      <c r="S11" s="1">
        <f t="shared" ca="1" si="4"/>
        <v>0</v>
      </c>
    </row>
    <row r="12" spans="1:19" x14ac:dyDescent="0.35">
      <c r="A12" s="1" t="s">
        <v>58</v>
      </c>
      <c r="B12" s="3">
        <v>46084</v>
      </c>
      <c r="C12" s="2" t="str">
        <f>PROPER(TRIM(CLEAN(transactions_raw3[[#This Row],[merchant_name]])))</f>
        <v>Alpha Mart</v>
      </c>
      <c r="D12" s="1" t="s">
        <v>46</v>
      </c>
      <c r="E12">
        <v>195000</v>
      </c>
      <c r="F12" s="1" t="s">
        <v>12</v>
      </c>
      <c r="G12" s="1" t="str">
        <f t="shared" si="0"/>
        <v>failed</v>
      </c>
      <c r="H12" s="1" t="s">
        <v>59</v>
      </c>
      <c r="I12" s="1" cm="1">
        <f t="array" ref="I12">IFERROR(your_formula,0)</f>
        <v>0</v>
      </c>
      <c r="J12" s="1" t="s">
        <v>22</v>
      </c>
      <c r="K12" s="1" t="str">
        <f t="shared" si="1"/>
        <v>UNKNOWN</v>
      </c>
      <c r="L12" s="1" t="s">
        <v>22</v>
      </c>
      <c r="M12" s="1" t="s">
        <v>60</v>
      </c>
      <c r="N12" s="1" t="s">
        <v>17</v>
      </c>
      <c r="O12" s="1" t="str">
        <f>TEXT(B12,"yyyy-mm-dd") &amp; "_" &amp; TRIM(F12)</f>
        <v>2026-03-03_INR</v>
      </c>
      <c r="P12" s="1">
        <f>_xlfn.XLOOKUP(TRIM(O12), exchange_rates!D:D, exchange_rates!C:C)</f>
        <v>1.21E-2</v>
      </c>
      <c r="Q12" s="1">
        <f t="shared" si="2"/>
        <v>2359.5</v>
      </c>
      <c r="R12" s="1">
        <f t="shared" si="3"/>
        <v>0</v>
      </c>
      <c r="S12" s="1">
        <f t="shared" ca="1" si="4"/>
        <v>1</v>
      </c>
    </row>
    <row r="13" spans="1:19" x14ac:dyDescent="0.35">
      <c r="A13" s="1" t="s">
        <v>61</v>
      </c>
      <c r="B13" s="3">
        <v>46085</v>
      </c>
      <c r="C13" s="2" t="str">
        <f>PROPER(TRIM(CLEAN(transactions_raw3[[#This Row],[merchant_name]])))</f>
        <v>Beta Stores</v>
      </c>
      <c r="D13" s="1" t="s">
        <v>33</v>
      </c>
      <c r="E13">
        <v>250000</v>
      </c>
      <c r="F13" s="1" t="s">
        <v>12</v>
      </c>
      <c r="G13" s="1" t="str">
        <f t="shared" si="0"/>
        <v>captured</v>
      </c>
      <c r="H13" s="1" t="s">
        <v>62</v>
      </c>
      <c r="I13" s="1" cm="1">
        <f t="array" aca="1" ref="I13" ca="1">VALUE(_xlfn.TEXTJOIN("",TRUE,IF(ISNUMBER(MID(J13,ROW(INDIRECT("1:50")),1)*1),
MID(J13,ROW(INDIRECT("1:50")),1),"")))</f>
        <v>61</v>
      </c>
      <c r="J13" s="1" t="s">
        <v>63</v>
      </c>
      <c r="K13" s="1" t="str">
        <f t="shared" si="1"/>
        <v>APAC</v>
      </c>
      <c r="L13" s="1" t="s">
        <v>29</v>
      </c>
      <c r="M13" s="1" t="s">
        <v>64</v>
      </c>
      <c r="N13" s="1" t="s">
        <v>24</v>
      </c>
      <c r="O13" s="1" t="str">
        <f>TEXT(B13,"yyyy-mm-dd") &amp; "_" &amp; TRIM(F13)</f>
        <v>2026-03-04_INR</v>
      </c>
      <c r="P13" s="1">
        <f>_xlfn.XLOOKUP(TRIM(O13), exchange_rates!D:D, exchange_rates!C:C)</f>
        <v>1.2E-2</v>
      </c>
      <c r="Q13" s="1">
        <f t="shared" si="2"/>
        <v>3000</v>
      </c>
      <c r="R13" s="1">
        <f t="shared" si="3"/>
        <v>0</v>
      </c>
      <c r="S13" s="1">
        <f t="shared" si="4"/>
        <v>0</v>
      </c>
    </row>
    <row r="14" spans="1:19" x14ac:dyDescent="0.35">
      <c r="A14" s="1" t="s">
        <v>65</v>
      </c>
      <c r="B14" s="3">
        <v>46085</v>
      </c>
      <c r="C14" s="2" t="str">
        <f>PROPER(TRIM(CLEAN(transactions_raw3[[#This Row],[merchant_name]])))</f>
        <v>Alpha Mart</v>
      </c>
      <c r="D14" s="1" t="s">
        <v>11</v>
      </c>
      <c r="E14">
        <v>310000</v>
      </c>
      <c r="F14" s="1" t="s">
        <v>12</v>
      </c>
      <c r="G14" s="1" t="str">
        <f t="shared" si="0"/>
        <v>captured</v>
      </c>
      <c r="H14" s="1" t="s">
        <v>62</v>
      </c>
      <c r="I14" s="1" cm="1">
        <f t="array" aca="1" ref="I14" ca="1">VALUE(_xlfn.TEXTJOIN("",TRUE,IF(ISNUMBER(MID(J14,ROW(INDIRECT("1:50")),1)*1),
MID(J14,ROW(INDIRECT("1:50")),1),"")))</f>
        <v>54</v>
      </c>
      <c r="J14" s="1" t="s">
        <v>66</v>
      </c>
      <c r="K14" s="1" t="str">
        <f t="shared" si="1"/>
        <v>APAC</v>
      </c>
      <c r="L14" s="1" t="s">
        <v>15</v>
      </c>
      <c r="M14" s="1" t="s">
        <v>67</v>
      </c>
      <c r="N14" s="1" t="s">
        <v>17</v>
      </c>
      <c r="O14" s="1" t="str">
        <f>TEXT(B14,"yyyy-mm-dd") &amp; "_" &amp; TRIM(F14)</f>
        <v>2026-03-04_INR</v>
      </c>
      <c r="P14" s="1">
        <f>_xlfn.XLOOKUP(TRIM(O14), exchange_rates!D:D, exchange_rates!C:C)</f>
        <v>1.2E-2</v>
      </c>
      <c r="Q14" s="1">
        <f t="shared" si="2"/>
        <v>3720</v>
      </c>
      <c r="R14" s="1">
        <f t="shared" si="3"/>
        <v>0</v>
      </c>
      <c r="S14" s="1">
        <f t="shared" ca="1" si="4"/>
        <v>0</v>
      </c>
    </row>
    <row r="15" spans="1:19" x14ac:dyDescent="0.35">
      <c r="A15" s="1" t="s">
        <v>68</v>
      </c>
      <c r="B15" s="3">
        <v>46085</v>
      </c>
      <c r="C15" s="2" t="str">
        <f>PROPER(TRIM(CLEAN(transactions_raw3[[#This Row],[merchant_name]])))</f>
        <v>Beta Stores</v>
      </c>
      <c r="D15" s="1" t="s">
        <v>33</v>
      </c>
      <c r="E15">
        <v>470000</v>
      </c>
      <c r="F15" s="1" t="s">
        <v>12</v>
      </c>
      <c r="G15" s="1" t="str">
        <f t="shared" si="0"/>
        <v>captured</v>
      </c>
      <c r="H15" s="1" t="s">
        <v>62</v>
      </c>
      <c r="I15" s="1" cm="1">
        <f t="array" aca="1" ref="I15" ca="1">VALUE(_xlfn.TEXTJOIN("",TRUE,IF(ISNUMBER(MID(J15,ROW(INDIRECT("1:50")),1)*1),
MID(J15,ROW(INDIRECT("1:50")),1),"")))</f>
        <v>73</v>
      </c>
      <c r="J15" s="1" t="s">
        <v>69</v>
      </c>
      <c r="K15" s="1" t="str">
        <f t="shared" si="1"/>
        <v>APAC</v>
      </c>
      <c r="L15" s="1" t="s">
        <v>15</v>
      </c>
      <c r="M15" s="1" t="s">
        <v>16</v>
      </c>
      <c r="N15" s="1" t="s">
        <v>31</v>
      </c>
      <c r="O15" s="1" t="str">
        <f>TEXT(B15,"yyyy-mm-dd") &amp; "_" &amp; TRIM(F15)</f>
        <v>2026-03-04_INR</v>
      </c>
      <c r="P15" s="1">
        <f>_xlfn.XLOOKUP(TRIM(O15), exchange_rates!D:D, exchange_rates!C:C)</f>
        <v>1.2E-2</v>
      </c>
      <c r="Q15" s="1">
        <f t="shared" si="2"/>
        <v>5640</v>
      </c>
      <c r="R15" s="1">
        <f t="shared" si="3"/>
        <v>1</v>
      </c>
      <c r="S15" s="1">
        <f t="shared" ca="1" si="4"/>
        <v>0</v>
      </c>
    </row>
    <row r="16" spans="1:19" x14ac:dyDescent="0.35">
      <c r="A16" s="1" t="s">
        <v>70</v>
      </c>
      <c r="B16" s="3">
        <v>46085</v>
      </c>
      <c r="C16" s="2" t="str">
        <f>PROPER(TRIM(CLEAN(transactions_raw3[[#This Row],[merchant_name]])))</f>
        <v>Alpha Mart</v>
      </c>
      <c r="D16" s="1" t="s">
        <v>39</v>
      </c>
      <c r="E16">
        <v>130000</v>
      </c>
      <c r="F16" s="1" t="s">
        <v>12</v>
      </c>
      <c r="G16" s="1" t="str">
        <f t="shared" si="0"/>
        <v>captured</v>
      </c>
      <c r="H16" s="1" t="s">
        <v>13</v>
      </c>
      <c r="I16" s="1" cm="1">
        <f t="array" aca="1" ref="I16" ca="1">VALUE(_xlfn.TEXTJOIN("",TRUE,IF(ISNUMBER(MID(J16,ROW(INDIRECT("1:50")),1)*1),
MID(J16,ROW(INDIRECT("1:50")),1),"")))</f>
        <v>52</v>
      </c>
      <c r="J16" s="1" t="s">
        <v>71</v>
      </c>
      <c r="K16" s="1" t="str">
        <f t="shared" si="1"/>
        <v>UNKNOWN</v>
      </c>
      <c r="L16" s="1" t="s">
        <v>22</v>
      </c>
      <c r="M16" s="1" t="s">
        <v>23</v>
      </c>
      <c r="N16" s="1" t="s">
        <v>24</v>
      </c>
      <c r="O16" s="1" t="str">
        <f>TEXT(B16,"yyyy-mm-dd") &amp; "_" &amp; TRIM(F16)</f>
        <v>2026-03-04_INR</v>
      </c>
      <c r="P16" s="1">
        <f>_xlfn.XLOOKUP(TRIM(O16), exchange_rates!D:D, exchange_rates!C:C)</f>
        <v>1.2E-2</v>
      </c>
      <c r="Q16" s="1">
        <f t="shared" si="2"/>
        <v>1560</v>
      </c>
      <c r="R16" s="1">
        <f t="shared" si="3"/>
        <v>0</v>
      </c>
      <c r="S16" s="1">
        <f t="shared" ca="1" si="4"/>
        <v>1</v>
      </c>
    </row>
    <row r="17" spans="1:19" x14ac:dyDescent="0.35">
      <c r="A17" s="1" t="s">
        <v>72</v>
      </c>
      <c r="B17" s="3">
        <v>46086</v>
      </c>
      <c r="C17" s="2" t="str">
        <f>PROPER(TRIM(CLEAN(transactions_raw3[[#This Row],[merchant_name]])))</f>
        <v>Beta Stores</v>
      </c>
      <c r="D17" s="1" t="s">
        <v>33</v>
      </c>
      <c r="E17">
        <v>220000</v>
      </c>
      <c r="F17" s="1" t="s">
        <v>12</v>
      </c>
      <c r="G17" s="1" t="str">
        <f t="shared" si="0"/>
        <v>failed</v>
      </c>
      <c r="H17" s="1" t="s">
        <v>73</v>
      </c>
      <c r="I17" s="1" cm="1">
        <f t="array" aca="1" ref="I17" ca="1">VALUE(_xlfn.TEXTJOIN("",TRUE,IF(ISNUMBER(MID(J17,ROW(INDIRECT("1:50")),1)*1),
MID(J17,ROW(INDIRECT("1:50")),1),"")))</f>
        <v>69</v>
      </c>
      <c r="J17" s="1" t="s">
        <v>74</v>
      </c>
      <c r="K17" s="1" t="str">
        <f t="shared" si="1"/>
        <v>UNKNOWN</v>
      </c>
      <c r="L17" s="1" t="s">
        <v>22</v>
      </c>
      <c r="M17" s="1" t="s">
        <v>60</v>
      </c>
      <c r="N17" s="1" t="s">
        <v>24</v>
      </c>
      <c r="O17" s="1" t="str">
        <f>TEXT(B17,"yyyy-mm-dd") &amp; "_" &amp; TRIM(F17)</f>
        <v>2026-03-05_INR</v>
      </c>
      <c r="P17" s="1">
        <f>_xlfn.XLOOKUP(TRIM(O17), exchange_rates!D:D, exchange_rates!C:C)</f>
        <v>1.18E-2</v>
      </c>
      <c r="Q17" s="1">
        <f t="shared" si="2"/>
        <v>2596</v>
      </c>
      <c r="R17" s="1">
        <f t="shared" si="3"/>
        <v>0</v>
      </c>
      <c r="S17" s="1">
        <f t="shared" ca="1" si="4"/>
        <v>0</v>
      </c>
    </row>
    <row r="18" spans="1:19" x14ac:dyDescent="0.35">
      <c r="A18" s="1" t="s">
        <v>75</v>
      </c>
      <c r="B18" s="3">
        <v>46086</v>
      </c>
      <c r="C18" s="2" t="str">
        <f>PROPER(TRIM(CLEAN(transactions_raw3[[#This Row],[merchant_name]])))</f>
        <v>Beta Stores</v>
      </c>
      <c r="D18" s="1" t="s">
        <v>33</v>
      </c>
      <c r="E18">
        <v>180000</v>
      </c>
      <c r="F18" s="1" t="s">
        <v>12</v>
      </c>
      <c r="G18" s="1" t="str">
        <f t="shared" si="0"/>
        <v>failed</v>
      </c>
      <c r="H18" s="1" t="s">
        <v>76</v>
      </c>
      <c r="I18" s="1" cm="1">
        <f t="array" aca="1" ref="I18" ca="1">VALUE(_xlfn.TEXTJOIN("",TRUE,IF(ISNUMBER(MID(J18,ROW(INDIRECT("1:50")),1)*1),
MID(J18,ROW(INDIRECT("1:50")),1),"")))</f>
        <v>72</v>
      </c>
      <c r="J18" s="1" t="s">
        <v>77</v>
      </c>
      <c r="K18" s="1" t="str">
        <f t="shared" si="1"/>
        <v>APAC</v>
      </c>
      <c r="L18" s="1" t="s">
        <v>36</v>
      </c>
      <c r="M18" s="1" t="s">
        <v>60</v>
      </c>
      <c r="N18" s="1" t="s">
        <v>24</v>
      </c>
      <c r="O18" s="1" t="str">
        <f>TEXT(B18,"yyyy-mm-dd") &amp; "_" &amp; TRIM(F18)</f>
        <v>2026-03-05_INR</v>
      </c>
      <c r="P18" s="1">
        <f>_xlfn.XLOOKUP(TRIM(O18), exchange_rates!D:D, exchange_rates!C:C)</f>
        <v>1.18E-2</v>
      </c>
      <c r="Q18" s="1">
        <f t="shared" si="2"/>
        <v>2124</v>
      </c>
      <c r="R18" s="1">
        <f t="shared" si="3"/>
        <v>0</v>
      </c>
      <c r="S18" s="1">
        <f t="shared" ca="1" si="4"/>
        <v>0</v>
      </c>
    </row>
    <row r="19" spans="1:19" x14ac:dyDescent="0.35">
      <c r="A19" s="1" t="s">
        <v>78</v>
      </c>
      <c r="B19" s="3">
        <v>46086</v>
      </c>
      <c r="C19" s="2" t="str">
        <f>PROPER(TRIM(CLEAN(transactions_raw3[[#This Row],[merchant_name]])))</f>
        <v>Beta Stores</v>
      </c>
      <c r="D19" s="1" t="s">
        <v>26</v>
      </c>
      <c r="E19">
        <v>145000</v>
      </c>
      <c r="F19" s="1" t="s">
        <v>12</v>
      </c>
      <c r="G19" s="1" t="str">
        <f t="shared" si="0"/>
        <v>chargeback</v>
      </c>
      <c r="H19" s="1" t="s">
        <v>79</v>
      </c>
      <c r="I19" s="1" cm="1">
        <f t="array" aca="1" ref="I19" ca="1">VALUE(_xlfn.TEXTJOIN("",TRUE,IF(ISNUMBER(MID(J19,ROW(INDIRECT("1:50")),1)*1),
MID(J19,ROW(INDIRECT("1:50")),1),"")))</f>
        <v>86</v>
      </c>
      <c r="J19" s="1" t="s">
        <v>80</v>
      </c>
      <c r="K19" s="1" t="str">
        <f t="shared" si="1"/>
        <v>APAC</v>
      </c>
      <c r="L19" s="1" t="s">
        <v>29</v>
      </c>
      <c r="M19" s="1" t="s">
        <v>60</v>
      </c>
      <c r="N19" s="1" t="s">
        <v>17</v>
      </c>
      <c r="O19" s="1" t="str">
        <f>TEXT(B19,"yyyy-mm-dd") &amp; "_" &amp; TRIM(F19)</f>
        <v>2026-03-05_INR</v>
      </c>
      <c r="P19" s="1">
        <f>_xlfn.XLOOKUP(TRIM(O19), exchange_rates!D:D, exchange_rates!C:C)</f>
        <v>1.18E-2</v>
      </c>
      <c r="Q19" s="1">
        <f t="shared" si="2"/>
        <v>1711</v>
      </c>
      <c r="R19" s="1">
        <f t="shared" si="3"/>
        <v>0</v>
      </c>
      <c r="S19" s="1">
        <f t="shared" ca="1" si="4"/>
        <v>1</v>
      </c>
    </row>
    <row r="20" spans="1:19" x14ac:dyDescent="0.35">
      <c r="A20" s="1" t="s">
        <v>81</v>
      </c>
      <c r="B20" s="3">
        <v>46086</v>
      </c>
      <c r="C20" s="2" t="str">
        <f>PROPER(TRIM(CLEAN(transactions_raw3[[#This Row],[merchant_name]])))</f>
        <v>Alpha Mart</v>
      </c>
      <c r="D20" s="1" t="s">
        <v>46</v>
      </c>
      <c r="E20">
        <v>260000</v>
      </c>
      <c r="F20" s="1" t="s">
        <v>12</v>
      </c>
      <c r="G20" s="1" t="str">
        <f t="shared" si="0"/>
        <v>failed</v>
      </c>
      <c r="H20" s="1" t="s">
        <v>76</v>
      </c>
      <c r="I20" s="1" cm="1">
        <f t="array" aca="1" ref="I20" ca="1">VALUE(_xlfn.TEXTJOIN("",TRUE,IF(ISNUMBER(MID(J20,ROW(INDIRECT("1:50")),1)*1),
MID(J20,ROW(INDIRECT("1:50")),1),"")))</f>
        <v>67</v>
      </c>
      <c r="J20" s="1" t="s">
        <v>82</v>
      </c>
      <c r="K20" s="1" t="str">
        <f t="shared" si="1"/>
        <v>APAC</v>
      </c>
      <c r="L20" s="1" t="s">
        <v>36</v>
      </c>
      <c r="M20" s="1" t="s">
        <v>60</v>
      </c>
      <c r="N20" s="1" t="s">
        <v>44</v>
      </c>
      <c r="O20" s="1" t="str">
        <f>TEXT(B20,"yyyy-mm-dd") &amp; "_" &amp; TRIM(F20)</f>
        <v>2026-03-05_INR</v>
      </c>
      <c r="P20" s="1">
        <f>_xlfn.XLOOKUP(TRIM(O20), exchange_rates!D:D, exchange_rates!C:C)</f>
        <v>1.18E-2</v>
      </c>
      <c r="Q20" s="1">
        <f t="shared" si="2"/>
        <v>3068</v>
      </c>
      <c r="R20" s="1">
        <f t="shared" si="3"/>
        <v>0</v>
      </c>
      <c r="S20" s="1">
        <f t="shared" ca="1" si="4"/>
        <v>1</v>
      </c>
    </row>
    <row r="21" spans="1:19" x14ac:dyDescent="0.35">
      <c r="A21" s="1" t="s">
        <v>83</v>
      </c>
      <c r="B21" s="3">
        <v>46086</v>
      </c>
      <c r="C21" s="2" t="str">
        <f>PROPER(TRIM(CLEAN(transactions_raw3[[#This Row],[merchant_name]])))</f>
        <v>Alpha Mart</v>
      </c>
      <c r="D21" s="1" t="s">
        <v>39</v>
      </c>
      <c r="E21">
        <v>520000</v>
      </c>
      <c r="F21" s="1" t="s">
        <v>12</v>
      </c>
      <c r="G21" s="1" t="str">
        <f t="shared" si="0"/>
        <v>captured</v>
      </c>
      <c r="H21" s="1" t="s">
        <v>20</v>
      </c>
      <c r="I21" s="1" cm="1">
        <f t="array" aca="1" ref="I21" ca="1">VALUE(_xlfn.TEXTJOIN("",TRUE,IF(ISNUMBER(MID(J21,ROW(INDIRECT("1:50")),1)*1),
MID(J21,ROW(INDIRECT("1:50")),1),"")))</f>
        <v>75</v>
      </c>
      <c r="J21" s="1" t="s">
        <v>84</v>
      </c>
      <c r="K21" s="1" t="str">
        <f t="shared" si="1"/>
        <v>APAC</v>
      </c>
      <c r="L21" s="1" t="s">
        <v>15</v>
      </c>
      <c r="M21" s="1" t="s">
        <v>43</v>
      </c>
      <c r="N21" s="1" t="s">
        <v>17</v>
      </c>
      <c r="O21" s="1" t="str">
        <f>TEXT(B21,"yyyy-mm-dd") &amp; "_" &amp; TRIM(F21)</f>
        <v>2026-03-05_INR</v>
      </c>
      <c r="P21" s="1">
        <f>_xlfn.XLOOKUP(TRIM(O21), exchange_rates!D:D, exchange_rates!C:C)</f>
        <v>1.18E-2</v>
      </c>
      <c r="Q21" s="1">
        <f t="shared" si="2"/>
        <v>6136</v>
      </c>
      <c r="R21" s="1">
        <f t="shared" si="3"/>
        <v>1</v>
      </c>
      <c r="S21" s="1">
        <f t="shared" ca="1" si="4"/>
        <v>0</v>
      </c>
    </row>
    <row r="22" spans="1:19" x14ac:dyDescent="0.35">
      <c r="A22" s="1" t="s">
        <v>85</v>
      </c>
      <c r="B22" s="3">
        <v>46087</v>
      </c>
      <c r="C22" s="2" t="str">
        <f>PROPER(TRIM(CLEAN(transactions_raw3[[#This Row],[merchant_name]])))</f>
        <v>Beta Stores</v>
      </c>
      <c r="D22" s="1" t="s">
        <v>86</v>
      </c>
      <c r="E22">
        <v>330000</v>
      </c>
      <c r="F22" s="1" t="s">
        <v>12</v>
      </c>
      <c r="G22" s="1" t="str">
        <f t="shared" si="0"/>
        <v>captured</v>
      </c>
      <c r="H22" s="1" t="s">
        <v>62</v>
      </c>
      <c r="I22" s="1" cm="1">
        <f t="array" aca="1" ref="I22" ca="1">VALUE(_xlfn.TEXTJOIN("",TRUE,IF(ISNUMBER(MID(J22,ROW(INDIRECT("1:50")),1)*1),
MID(J22,ROW(INDIRECT("1:50")),1),"")))</f>
        <v>63</v>
      </c>
      <c r="J22" s="1" t="s">
        <v>87</v>
      </c>
      <c r="K22" s="1" t="str">
        <f t="shared" si="1"/>
        <v>UNKNOWN</v>
      </c>
      <c r="L22" s="1" t="s">
        <v>22</v>
      </c>
      <c r="M22" s="1" t="s">
        <v>49</v>
      </c>
      <c r="N22" s="1" t="s">
        <v>24</v>
      </c>
      <c r="O22" s="1" t="str">
        <f>TEXT(B22,"yyyy-mm-dd") &amp; "_" &amp; TRIM(F22)</f>
        <v>2026-03-06_INR</v>
      </c>
      <c r="P22" s="1">
        <f>_xlfn.XLOOKUP(TRIM(O22), exchange_rates!D:D, exchange_rates!C:C)</f>
        <v>1.1900000000000001E-2</v>
      </c>
      <c r="Q22" s="1">
        <f t="shared" si="2"/>
        <v>3927.0000000000005</v>
      </c>
      <c r="R22" s="1">
        <f t="shared" si="3"/>
        <v>0</v>
      </c>
      <c r="S22" s="1">
        <f t="shared" ca="1" si="4"/>
        <v>1</v>
      </c>
    </row>
    <row r="23" spans="1:19" x14ac:dyDescent="0.35">
      <c r="A23" s="1" t="s">
        <v>88</v>
      </c>
      <c r="B23" s="3">
        <v>46087</v>
      </c>
      <c r="C23" s="2" t="str">
        <f>PROPER(TRIM(CLEAN(transactions_raw3[[#This Row],[merchant_name]])))</f>
        <v>Alpha Mart</v>
      </c>
      <c r="D23" s="1" t="s">
        <v>19</v>
      </c>
      <c r="E23">
        <v>410000</v>
      </c>
      <c r="F23" s="1" t="s">
        <v>12</v>
      </c>
      <c r="G23" s="1" t="str">
        <f t="shared" si="0"/>
        <v>captured</v>
      </c>
      <c r="H23" s="1" t="s">
        <v>62</v>
      </c>
      <c r="I23" s="1" cm="1">
        <f t="array" aca="1" ref="I23" ca="1">VALUE(_xlfn.TEXTJOIN("",TRUE,IF(ISNUMBER(MID(J23,ROW(INDIRECT("1:50")),1)*1),
MID(J23,ROW(INDIRECT("1:50")),1),"")))</f>
        <v>60</v>
      </c>
      <c r="J23" s="1" t="s">
        <v>89</v>
      </c>
      <c r="K23" s="1" t="str">
        <f t="shared" si="1"/>
        <v>APAC</v>
      </c>
      <c r="L23" s="1" t="s">
        <v>15</v>
      </c>
      <c r="M23" s="1" t="s">
        <v>52</v>
      </c>
      <c r="N23" s="1" t="s">
        <v>17</v>
      </c>
      <c r="O23" s="1" t="str">
        <f>TEXT(B23,"yyyy-mm-dd") &amp; "_" &amp; TRIM(F23)</f>
        <v>2026-03-06_INR</v>
      </c>
      <c r="P23" s="1">
        <f>_xlfn.XLOOKUP(TRIM(O23), exchange_rates!D:D, exchange_rates!C:C)</f>
        <v>1.1900000000000001E-2</v>
      </c>
      <c r="Q23" s="1">
        <f t="shared" si="2"/>
        <v>4879</v>
      </c>
      <c r="R23" s="1">
        <f t="shared" si="3"/>
        <v>0</v>
      </c>
      <c r="S23" s="1">
        <f t="shared" ca="1" si="4"/>
        <v>0</v>
      </c>
    </row>
    <row r="24" spans="1:19" x14ac:dyDescent="0.35">
      <c r="A24" s="1" t="s">
        <v>90</v>
      </c>
      <c r="B24" s="3">
        <v>46082</v>
      </c>
      <c r="C24" s="2" t="str">
        <f>PROPER(TRIM(CLEAN(transactions_raw3[[#This Row],[merchant_name]])))</f>
        <v>City Pharma</v>
      </c>
      <c r="D24" s="1" t="s">
        <v>91</v>
      </c>
      <c r="E24">
        <v>5200</v>
      </c>
      <c r="F24" s="1" t="s">
        <v>92</v>
      </c>
      <c r="G24" s="1" t="str">
        <f t="shared" si="0"/>
        <v>captured</v>
      </c>
      <c r="H24" s="1" t="s">
        <v>20</v>
      </c>
      <c r="I24" s="1" cm="1">
        <f t="array" aca="1" ref="I24" ca="1">VALUE(_xlfn.TEXTJOIN("",TRUE,IF(ISNUMBER(MID(J24,ROW(INDIRECT("1:50")),1)*1),
MID(J24,ROW(INDIRECT("1:50")),1),"")))</f>
        <v>42</v>
      </c>
      <c r="J24" s="1" t="s">
        <v>93</v>
      </c>
      <c r="K24" s="1" t="str">
        <f t="shared" si="1"/>
        <v>EU</v>
      </c>
      <c r="L24" s="1" t="s">
        <v>94</v>
      </c>
      <c r="M24" s="1" t="s">
        <v>30</v>
      </c>
      <c r="N24" s="1" t="s">
        <v>24</v>
      </c>
      <c r="O24" s="1" t="str">
        <f>TEXT(B24,"yyyy-mm-dd") &amp; "_" &amp; TRIM(F24)</f>
        <v>2026-03-01_EUR</v>
      </c>
      <c r="P24" s="1">
        <f>_xlfn.XLOOKUP(TRIM(O24), exchange_rates!D:D, exchange_rates!C:C)</f>
        <v>1.08</v>
      </c>
      <c r="Q24" s="1">
        <f t="shared" si="2"/>
        <v>5616</v>
      </c>
      <c r="R24" s="1">
        <f t="shared" si="3"/>
        <v>0</v>
      </c>
      <c r="S24" s="1">
        <f t="shared" ca="1" si="4"/>
        <v>0</v>
      </c>
    </row>
    <row r="25" spans="1:19" x14ac:dyDescent="0.35">
      <c r="A25" s="1" t="s">
        <v>95</v>
      </c>
      <c r="B25" s="3">
        <v>46083</v>
      </c>
      <c r="C25" s="2" t="str">
        <f>PROPER(TRIM(CLEAN(transactions_raw3[[#This Row],[merchant_name]])))</f>
        <v>Eco Home</v>
      </c>
      <c r="D25" s="1" t="s">
        <v>96</v>
      </c>
      <c r="E25">
        <v>6100</v>
      </c>
      <c r="F25" s="1" t="s">
        <v>92</v>
      </c>
      <c r="G25" s="1" t="str">
        <f t="shared" si="0"/>
        <v>chargeback</v>
      </c>
      <c r="H25" s="1" t="s">
        <v>79</v>
      </c>
      <c r="I25" s="1" cm="1">
        <f t="array" aca="1" ref="I25" ca="1">VALUE(_xlfn.TEXTJOIN("",TRUE,IF(ISNUMBER(MID(J25,ROW(INDIRECT("1:50")),1)*1),
MID(J25,ROW(INDIRECT("1:50")),1),"")))</f>
        <v>65</v>
      </c>
      <c r="J25" s="1" t="s">
        <v>97</v>
      </c>
      <c r="K25" s="1" t="str">
        <f t="shared" si="1"/>
        <v>EU</v>
      </c>
      <c r="L25" s="1" t="s">
        <v>98</v>
      </c>
      <c r="M25" s="1" t="s">
        <v>37</v>
      </c>
      <c r="N25" s="1" t="s">
        <v>24</v>
      </c>
      <c r="O25" s="1" t="str">
        <f>TEXT(B25,"yyyy-mm-dd") &amp; "_" &amp; TRIM(F25)</f>
        <v>2026-03-02_EUR</v>
      </c>
      <c r="P25" s="1">
        <f>_xlfn.XLOOKUP(TRIM(O25), exchange_rates!D:D, exchange_rates!C:C)</f>
        <v>1.0900000000000001</v>
      </c>
      <c r="Q25" s="1">
        <f t="shared" si="2"/>
        <v>6649.0000000000009</v>
      </c>
      <c r="R25" s="1">
        <f t="shared" si="3"/>
        <v>1</v>
      </c>
      <c r="S25" s="1">
        <f t="shared" ca="1" si="4"/>
        <v>0</v>
      </c>
    </row>
    <row r="26" spans="1:19" x14ac:dyDescent="0.35">
      <c r="A26" s="1" t="s">
        <v>99</v>
      </c>
      <c r="B26" s="3">
        <v>46084</v>
      </c>
      <c r="C26" s="2" t="str">
        <f>PROPER(TRIM(CLEAN(transactions_raw3[[#This Row],[merchant_name]])))</f>
        <v>City Pharma</v>
      </c>
      <c r="D26" s="1" t="s">
        <v>91</v>
      </c>
      <c r="E26">
        <v>2800</v>
      </c>
      <c r="F26" s="1" t="s">
        <v>92</v>
      </c>
      <c r="G26" s="1" t="str">
        <f t="shared" si="0"/>
        <v>captured</v>
      </c>
      <c r="H26" s="1" t="s">
        <v>62</v>
      </c>
      <c r="I26" s="1" cm="1">
        <f t="array" aca="1" ref="I26" ca="1">VALUE(_xlfn.TEXTJOIN("",TRUE,IF(ISNUMBER(MID(J26,ROW(INDIRECT("1:50")),1)*1),
MID(J26,ROW(INDIRECT("1:50")),1),"")))</f>
        <v>38</v>
      </c>
      <c r="J26" s="1" t="s">
        <v>100</v>
      </c>
      <c r="K26" s="1" t="str">
        <f t="shared" si="1"/>
        <v>EU</v>
      </c>
      <c r="L26" s="1" t="s">
        <v>101</v>
      </c>
      <c r="M26" s="1" t="s">
        <v>43</v>
      </c>
      <c r="N26" s="1" t="s">
        <v>44</v>
      </c>
      <c r="O26" s="1" t="str">
        <f>TEXT(B26,"yyyy-mm-dd") &amp; "_" &amp; TRIM(F26)</f>
        <v>2026-03-03_EUR</v>
      </c>
      <c r="P26" s="1">
        <f>_xlfn.XLOOKUP(TRIM(O26), exchange_rates!D:D, exchange_rates!C:C)</f>
        <v>1.08</v>
      </c>
      <c r="Q26" s="1">
        <f t="shared" si="2"/>
        <v>3024</v>
      </c>
      <c r="R26" s="1">
        <f t="shared" si="3"/>
        <v>0</v>
      </c>
      <c r="S26" s="1">
        <f t="shared" ca="1" si="4"/>
        <v>1</v>
      </c>
    </row>
    <row r="27" spans="1:19" x14ac:dyDescent="0.35">
      <c r="A27" s="1" t="s">
        <v>102</v>
      </c>
      <c r="B27" s="3">
        <v>46086</v>
      </c>
      <c r="C27" s="2" t="str">
        <f>PROPER(TRIM(CLEAN(transactions_raw3[[#This Row],[merchant_name]])))</f>
        <v>Eco Home</v>
      </c>
      <c r="D27" s="1" t="s">
        <v>96</v>
      </c>
      <c r="E27">
        <v>3300</v>
      </c>
      <c r="F27" s="1" t="s">
        <v>92</v>
      </c>
      <c r="G27" s="1" t="str">
        <f t="shared" si="0"/>
        <v>failed</v>
      </c>
      <c r="H27" s="1" t="s">
        <v>76</v>
      </c>
      <c r="I27" s="1" cm="1">
        <f t="array" aca="1" ref="I27" ca="1">VALUE(_xlfn.TEXTJOIN("",TRUE,IF(ISNUMBER(MID(J27,ROW(INDIRECT("1:50")),1)*1),
MID(J27,ROW(INDIRECT("1:50")),1),"")))</f>
        <v>44</v>
      </c>
      <c r="J27" s="1" t="s">
        <v>103</v>
      </c>
      <c r="K27" s="1" t="str">
        <f t="shared" si="1"/>
        <v>EU</v>
      </c>
      <c r="L27" s="1" t="s">
        <v>94</v>
      </c>
      <c r="M27" s="1" t="s">
        <v>49</v>
      </c>
      <c r="N27" s="1" t="s">
        <v>31</v>
      </c>
      <c r="O27" s="1" t="str">
        <f>TEXT(B27,"yyyy-mm-dd") &amp; "_" &amp; TRIM(F27)</f>
        <v>2026-03-05_EUR</v>
      </c>
      <c r="P27" s="1">
        <f>_xlfn.XLOOKUP(TRIM(O27), exchange_rates!D:D, exchange_rates!C:C)</f>
        <v>1.0900000000000001</v>
      </c>
      <c r="Q27" s="1">
        <f t="shared" si="2"/>
        <v>3597.0000000000005</v>
      </c>
      <c r="R27" s="1">
        <f t="shared" si="3"/>
        <v>0</v>
      </c>
      <c r="S27" s="1">
        <f t="shared" ca="1" si="4"/>
        <v>0</v>
      </c>
    </row>
    <row r="28" spans="1:19" x14ac:dyDescent="0.35">
      <c r="A28" s="1" t="s">
        <v>104</v>
      </c>
      <c r="B28" s="3">
        <v>46082</v>
      </c>
      <c r="C28" s="2" t="str">
        <f>PROPER(TRIM(CLEAN(transactions_raw3[[#This Row],[merchant_name]])))</f>
        <v>Delta Travels</v>
      </c>
      <c r="D28" s="1" t="s">
        <v>105</v>
      </c>
      <c r="E28">
        <v>7200</v>
      </c>
      <c r="F28" s="1" t="s">
        <v>106</v>
      </c>
      <c r="G28" s="1" t="str">
        <f t="shared" si="0"/>
        <v>captured</v>
      </c>
      <c r="H28" s="1" t="s">
        <v>62</v>
      </c>
      <c r="I28" s="1" cm="1">
        <f t="array" aca="1" ref="I28" ca="1">VALUE(_xlfn.TEXTJOIN("",TRUE,IF(ISNUMBER(MID(J28,ROW(INDIRECT("1:50")),1)*1),
MID(J28,ROW(INDIRECT("1:50")),1),"")))</f>
        <v>49</v>
      </c>
      <c r="J28" s="1" t="s">
        <v>107</v>
      </c>
      <c r="K28" s="1" t="str">
        <f t="shared" si="1"/>
        <v>US</v>
      </c>
      <c r="L28" s="1" t="s">
        <v>108</v>
      </c>
      <c r="M28" s="1" t="s">
        <v>52</v>
      </c>
      <c r="N28" s="1" t="s">
        <v>24</v>
      </c>
      <c r="O28" s="1" t="str">
        <f>TEXT(B28,"yyyy-mm-dd") &amp; "_" &amp; TRIM(F28)</f>
        <v>2026-03-01_USD</v>
      </c>
      <c r="P28" s="1">
        <f>_xlfn.XLOOKUP(TRIM(O28), exchange_rates!D:D, exchange_rates!C:C)</f>
        <v>1</v>
      </c>
      <c r="Q28" s="1">
        <f t="shared" si="2"/>
        <v>7200</v>
      </c>
      <c r="R28" s="1">
        <f t="shared" si="3"/>
        <v>1</v>
      </c>
      <c r="S28" s="1">
        <f t="shared" ca="1" si="4"/>
        <v>0</v>
      </c>
    </row>
    <row r="29" spans="1:19" x14ac:dyDescent="0.35">
      <c r="A29" s="1" t="s">
        <v>109</v>
      </c>
      <c r="B29" s="3">
        <v>46083</v>
      </c>
      <c r="C29" s="2" t="str">
        <f>PROPER(TRIM(CLEAN(transactions_raw3[[#This Row],[merchant_name]])))</f>
        <v>Delta Travels</v>
      </c>
      <c r="D29" s="1" t="s">
        <v>110</v>
      </c>
      <c r="E29">
        <v>3100</v>
      </c>
      <c r="F29" s="1" t="s">
        <v>106</v>
      </c>
      <c r="G29" s="1" t="str">
        <f t="shared" si="0"/>
        <v>captured</v>
      </c>
      <c r="H29" s="1" t="s">
        <v>27</v>
      </c>
      <c r="I29" s="1" cm="1">
        <f t="array" aca="1" ref="I29" ca="1">VALUE(_xlfn.TEXTJOIN("",TRUE,IF(ISNUMBER(MID(J29,ROW(INDIRECT("1:50")),1)*1),
MID(J29,ROW(INDIRECT("1:50")),1),"")))</f>
        <v>41</v>
      </c>
      <c r="J29" s="1" t="s">
        <v>111</v>
      </c>
      <c r="K29" s="1" t="str">
        <f t="shared" si="1"/>
        <v>US</v>
      </c>
      <c r="L29" s="1" t="s">
        <v>112</v>
      </c>
      <c r="M29" s="1" t="s">
        <v>60</v>
      </c>
      <c r="N29" s="1" t="s">
        <v>24</v>
      </c>
      <c r="O29" s="1" t="str">
        <f>TEXT(B29,"yyyy-mm-dd") &amp; "_" &amp; TRIM(F29)</f>
        <v>2026-03-02_USD</v>
      </c>
      <c r="P29" s="1">
        <f>_xlfn.XLOOKUP(TRIM(O29), exchange_rates!D:D, exchange_rates!C:C)</f>
        <v>1</v>
      </c>
      <c r="Q29" s="1">
        <f t="shared" si="2"/>
        <v>3100</v>
      </c>
      <c r="R29" s="1">
        <f t="shared" si="3"/>
        <v>0</v>
      </c>
      <c r="S29" s="1">
        <f t="shared" ca="1" si="4"/>
        <v>0</v>
      </c>
    </row>
    <row r="30" spans="1:19" x14ac:dyDescent="0.35">
      <c r="A30" s="1" t="s">
        <v>113</v>
      </c>
      <c r="B30" s="3">
        <v>46085</v>
      </c>
      <c r="C30" s="2" t="str">
        <f>PROPER(TRIM(CLEAN(transactions_raw3[[#This Row],[merchant_name]])))</f>
        <v>Delta Travels</v>
      </c>
      <c r="D30" s="1" t="s">
        <v>114</v>
      </c>
      <c r="E30">
        <v>2500</v>
      </c>
      <c r="F30" s="1" t="s">
        <v>106</v>
      </c>
      <c r="G30" s="1" t="str">
        <f t="shared" si="0"/>
        <v>chargeback</v>
      </c>
      <c r="H30" s="1" t="s">
        <v>79</v>
      </c>
      <c r="I30" s="1" cm="1">
        <f t="array" aca="1" ref="I30" ca="1">VALUE(_xlfn.TEXTJOIN("",TRUE,IF(ISNUMBER(MID(J30,ROW(INDIRECT("1:50")),1)*1),
MID(J30,ROW(INDIRECT("1:50")),1),"")))</f>
        <v>58</v>
      </c>
      <c r="J30" s="1" t="s">
        <v>115</v>
      </c>
      <c r="K30" s="1" t="str">
        <f t="shared" si="1"/>
        <v>US</v>
      </c>
      <c r="L30" s="1" t="s">
        <v>112</v>
      </c>
      <c r="M30" s="1" t="s">
        <v>64</v>
      </c>
      <c r="N30" s="1" t="s">
        <v>44</v>
      </c>
      <c r="O30" s="1" t="str">
        <f>TEXT(B30,"yyyy-mm-dd") &amp; "_" &amp; TRIM(F30)</f>
        <v>2026-03-04_USD</v>
      </c>
      <c r="P30" s="1">
        <f>_xlfn.XLOOKUP(TRIM(O30), exchange_rates!D:D, exchange_rates!C:C)</f>
        <v>1</v>
      </c>
      <c r="Q30" s="1">
        <f t="shared" si="2"/>
        <v>2500</v>
      </c>
      <c r="R30" s="1">
        <f t="shared" si="3"/>
        <v>0</v>
      </c>
      <c r="S30" s="1">
        <f t="shared" ca="1" si="4"/>
        <v>0</v>
      </c>
    </row>
    <row r="31" spans="1:19" x14ac:dyDescent="0.35">
      <c r="A31" s="1" t="s">
        <v>116</v>
      </c>
      <c r="B31" s="3">
        <v>46087</v>
      </c>
      <c r="C31" s="2" t="str">
        <f>PROPER(TRIM(CLEAN(transactions_raw3[[#This Row],[merchant_name]])))</f>
        <v>Delta Travels</v>
      </c>
      <c r="D31" s="1" t="s">
        <v>105</v>
      </c>
      <c r="E31">
        <v>1800</v>
      </c>
      <c r="F31" s="1" t="s">
        <v>106</v>
      </c>
      <c r="G31" s="1" t="str">
        <f t="shared" si="0"/>
        <v>failed</v>
      </c>
      <c r="H31" s="1" t="s">
        <v>76</v>
      </c>
      <c r="I31" s="1" cm="1">
        <f t="array" aca="1" ref="I31" ca="1">VALUE(_xlfn.TEXTJOIN("",TRUE,IF(ISNUMBER(MID(J31,ROW(INDIRECT("1:50")),1)*1),
MID(J31,ROW(INDIRECT("1:50")),1),"")))</f>
        <v>47</v>
      </c>
      <c r="J31" s="1" t="s">
        <v>117</v>
      </c>
      <c r="K31" s="1" t="str">
        <f t="shared" si="1"/>
        <v>US</v>
      </c>
      <c r="L31" s="1" t="s">
        <v>112</v>
      </c>
      <c r="M31" s="1" t="s">
        <v>67</v>
      </c>
      <c r="N31" s="1" t="s">
        <v>17</v>
      </c>
      <c r="O31" s="1" t="str">
        <f>TEXT(B31,"yyyy-mm-dd") &amp; "_" &amp; TRIM(F31)</f>
        <v>2026-03-06_USD</v>
      </c>
      <c r="P31" s="1">
        <f>_xlfn.XLOOKUP(TRIM(O31), exchange_rates!D:D, exchange_rates!C:C)</f>
        <v>1</v>
      </c>
      <c r="Q31" s="1">
        <f t="shared" si="2"/>
        <v>1800</v>
      </c>
      <c r="R31" s="1">
        <f t="shared" si="3"/>
        <v>0</v>
      </c>
      <c r="S31" s="1">
        <f t="shared" ca="1" si="4"/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B45B-FE46-48C4-9B22-CF9C24EBA8EA}">
  <dimension ref="A3:C9"/>
  <sheetViews>
    <sheetView workbookViewId="0">
      <selection activeCell="C4" sqref="C4"/>
    </sheetView>
  </sheetViews>
  <sheetFormatPr defaultRowHeight="14.5" x14ac:dyDescent="0.35"/>
  <cols>
    <col min="1" max="1" width="12.36328125" bestFit="1" customWidth="1"/>
    <col min="2" max="2" width="16.26953125" bestFit="1" customWidth="1"/>
    <col min="3" max="3" width="25" bestFit="1" customWidth="1"/>
  </cols>
  <sheetData>
    <row r="3" spans="1:3" x14ac:dyDescent="0.35">
      <c r="A3" s="4" t="s">
        <v>131</v>
      </c>
      <c r="B3" t="s">
        <v>133</v>
      </c>
      <c r="C3" t="s">
        <v>134</v>
      </c>
    </row>
    <row r="4" spans="1:3" x14ac:dyDescent="0.35">
      <c r="A4" s="5" t="s">
        <v>39</v>
      </c>
      <c r="B4" s="1">
        <v>11</v>
      </c>
      <c r="C4" s="1">
        <v>2</v>
      </c>
    </row>
    <row r="5" spans="1:3" x14ac:dyDescent="0.35">
      <c r="A5" s="5" t="s">
        <v>56</v>
      </c>
      <c r="B5" s="1">
        <v>11</v>
      </c>
      <c r="C5" s="1">
        <v>5</v>
      </c>
    </row>
    <row r="6" spans="1:3" x14ac:dyDescent="0.35">
      <c r="A6" s="5" t="s">
        <v>91</v>
      </c>
      <c r="B6" s="1">
        <v>2</v>
      </c>
      <c r="C6" s="1">
        <v>0</v>
      </c>
    </row>
    <row r="7" spans="1:3" x14ac:dyDescent="0.35">
      <c r="A7" s="5" t="s">
        <v>110</v>
      </c>
      <c r="B7" s="1">
        <v>4</v>
      </c>
      <c r="C7" s="1">
        <v>1</v>
      </c>
    </row>
    <row r="8" spans="1:3" x14ac:dyDescent="0.35">
      <c r="A8" s="5" t="s">
        <v>96</v>
      </c>
      <c r="B8" s="1">
        <v>2</v>
      </c>
      <c r="C8" s="1">
        <v>1</v>
      </c>
    </row>
    <row r="9" spans="1:3" x14ac:dyDescent="0.35">
      <c r="A9" s="5" t="s">
        <v>132</v>
      </c>
      <c r="B9" s="1">
        <v>30</v>
      </c>
      <c r="C9" s="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3433-6563-42CF-A876-C3CCDC39FD27}">
  <dimension ref="A1:L31"/>
  <sheetViews>
    <sheetView tabSelected="1" zoomScale="61" workbookViewId="0">
      <selection activeCell="N29" sqref="N29"/>
    </sheetView>
  </sheetViews>
  <sheetFormatPr defaultRowHeight="14.5" x14ac:dyDescent="0.35"/>
  <cols>
    <col min="1" max="1" width="12.453125" customWidth="1"/>
    <col min="2" max="2" width="14.54296875" customWidth="1"/>
    <col min="3" max="3" width="14.7265625" customWidth="1"/>
    <col min="5" max="5" width="10.453125" customWidth="1"/>
    <col min="7" max="7" width="13.6328125" customWidth="1"/>
    <col min="8" max="8" width="7.54296875" customWidth="1"/>
    <col min="9" max="9" width="15.7265625" customWidth="1"/>
    <col min="10" max="10" width="11.1796875" customWidth="1"/>
    <col min="11" max="11" width="14.08984375" customWidth="1"/>
    <col min="12" max="12" width="12.54296875" customWidth="1"/>
  </cols>
  <sheetData>
    <row r="1" spans="1:12" x14ac:dyDescent="0.35">
      <c r="A1" t="s">
        <v>0</v>
      </c>
      <c r="B1" s="3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124</v>
      </c>
      <c r="K1" t="s">
        <v>125</v>
      </c>
      <c r="L1" t="s">
        <v>128</v>
      </c>
    </row>
    <row r="2" spans="1:12" x14ac:dyDescent="0.35">
      <c r="A2" t="s">
        <v>10</v>
      </c>
      <c r="B2" s="3">
        <v>46082</v>
      </c>
      <c r="C2" t="s">
        <v>39</v>
      </c>
      <c r="D2" t="s">
        <v>12</v>
      </c>
      <c r="E2" t="s">
        <v>13</v>
      </c>
      <c r="F2">
        <v>62</v>
      </c>
      <c r="G2" t="s">
        <v>15</v>
      </c>
      <c r="H2" t="s">
        <v>16</v>
      </c>
      <c r="I2" t="s">
        <v>17</v>
      </c>
      <c r="J2">
        <v>4998</v>
      </c>
      <c r="K2">
        <v>0</v>
      </c>
      <c r="L2">
        <f>IF(OR(F2&gt;=70,E2="chargeback"),1,0)</f>
        <v>0</v>
      </c>
    </row>
    <row r="3" spans="1:12" x14ac:dyDescent="0.35">
      <c r="A3" t="s">
        <v>18</v>
      </c>
      <c r="B3" s="3">
        <v>46082</v>
      </c>
      <c r="C3" t="s">
        <v>39</v>
      </c>
      <c r="D3" t="s">
        <v>12</v>
      </c>
      <c r="E3" t="s">
        <v>13</v>
      </c>
      <c r="F3">
        <v>55</v>
      </c>
      <c r="G3" t="s">
        <v>130</v>
      </c>
      <c r="H3" t="s">
        <v>23</v>
      </c>
      <c r="I3" t="s">
        <v>24</v>
      </c>
      <c r="J3">
        <v>2499</v>
      </c>
      <c r="K3">
        <v>0</v>
      </c>
      <c r="L3">
        <f t="shared" ref="L3:L31" si="0">IF(OR(F3&gt;=70,E3="chargeback"),1,0)</f>
        <v>0</v>
      </c>
    </row>
    <row r="4" spans="1:12" x14ac:dyDescent="0.35">
      <c r="A4" t="s">
        <v>25</v>
      </c>
      <c r="B4" s="3">
        <v>46082</v>
      </c>
      <c r="C4" t="s">
        <v>56</v>
      </c>
      <c r="D4" t="s">
        <v>12</v>
      </c>
      <c r="E4" t="s">
        <v>13</v>
      </c>
      <c r="F4">
        <v>71</v>
      </c>
      <c r="G4" t="s">
        <v>15</v>
      </c>
      <c r="H4" t="s">
        <v>30</v>
      </c>
      <c r="I4" t="s">
        <v>31</v>
      </c>
      <c r="J4">
        <v>6069</v>
      </c>
      <c r="K4">
        <v>1</v>
      </c>
      <c r="L4">
        <f t="shared" si="0"/>
        <v>1</v>
      </c>
    </row>
    <row r="5" spans="1:12" x14ac:dyDescent="0.35">
      <c r="A5" t="s">
        <v>32</v>
      </c>
      <c r="B5" s="3">
        <v>46083</v>
      </c>
      <c r="C5" t="s">
        <v>56</v>
      </c>
      <c r="D5" t="s">
        <v>12</v>
      </c>
      <c r="E5" t="s">
        <v>129</v>
      </c>
      <c r="F5">
        <v>68</v>
      </c>
      <c r="G5" t="s">
        <v>15</v>
      </c>
      <c r="H5" t="s">
        <v>37</v>
      </c>
      <c r="I5" t="s">
        <v>24</v>
      </c>
      <c r="J5">
        <v>1920</v>
      </c>
      <c r="K5">
        <v>0</v>
      </c>
      <c r="L5">
        <f t="shared" si="0"/>
        <v>0</v>
      </c>
    </row>
    <row r="6" spans="1:12" x14ac:dyDescent="0.35">
      <c r="A6" t="s">
        <v>38</v>
      </c>
      <c r="B6" s="3">
        <v>46083</v>
      </c>
      <c r="C6" t="s">
        <v>39</v>
      </c>
      <c r="D6" t="s">
        <v>12</v>
      </c>
      <c r="E6" t="s">
        <v>13</v>
      </c>
      <c r="F6">
        <v>58</v>
      </c>
      <c r="G6" t="s">
        <v>130</v>
      </c>
      <c r="H6" t="s">
        <v>16</v>
      </c>
      <c r="I6" t="s">
        <v>17</v>
      </c>
      <c r="J6">
        <v>4680</v>
      </c>
      <c r="K6">
        <v>0</v>
      </c>
      <c r="L6">
        <f t="shared" si="0"/>
        <v>0</v>
      </c>
    </row>
    <row r="7" spans="1:12" x14ac:dyDescent="0.35">
      <c r="A7" t="s">
        <v>41</v>
      </c>
      <c r="B7" s="3">
        <v>46083</v>
      </c>
      <c r="C7" t="s">
        <v>56</v>
      </c>
      <c r="D7" t="s">
        <v>12</v>
      </c>
      <c r="E7" t="s">
        <v>13</v>
      </c>
      <c r="F7">
        <v>64</v>
      </c>
      <c r="G7" t="s">
        <v>130</v>
      </c>
      <c r="H7" t="s">
        <v>43</v>
      </c>
      <c r="I7" t="s">
        <v>44</v>
      </c>
      <c r="J7">
        <v>3300</v>
      </c>
      <c r="K7">
        <v>0</v>
      </c>
      <c r="L7">
        <f t="shared" si="0"/>
        <v>0</v>
      </c>
    </row>
    <row r="8" spans="1:12" x14ac:dyDescent="0.35">
      <c r="A8" t="s">
        <v>45</v>
      </c>
      <c r="B8" s="3">
        <v>46083</v>
      </c>
      <c r="C8" t="s">
        <v>39</v>
      </c>
      <c r="D8" t="s">
        <v>12</v>
      </c>
      <c r="E8" t="s">
        <v>47</v>
      </c>
      <c r="F8">
        <v>83</v>
      </c>
      <c r="G8" t="s">
        <v>15</v>
      </c>
      <c r="H8" t="s">
        <v>49</v>
      </c>
      <c r="I8" t="s">
        <v>24</v>
      </c>
      <c r="J8">
        <v>5400</v>
      </c>
      <c r="K8">
        <v>1</v>
      </c>
      <c r="L8">
        <f t="shared" si="0"/>
        <v>1</v>
      </c>
    </row>
    <row r="9" spans="1:12" x14ac:dyDescent="0.35">
      <c r="A9" t="s">
        <v>50</v>
      </c>
      <c r="B9" s="3">
        <v>46084</v>
      </c>
      <c r="C9" t="s">
        <v>56</v>
      </c>
      <c r="D9" t="s">
        <v>12</v>
      </c>
      <c r="E9" t="s">
        <v>13</v>
      </c>
      <c r="F9">
        <v>59</v>
      </c>
      <c r="G9" t="s">
        <v>130</v>
      </c>
      <c r="H9" t="s">
        <v>52</v>
      </c>
      <c r="I9" t="s">
        <v>17</v>
      </c>
      <c r="J9">
        <v>4114</v>
      </c>
      <c r="K9">
        <v>0</v>
      </c>
      <c r="L9">
        <f t="shared" si="0"/>
        <v>0</v>
      </c>
    </row>
    <row r="10" spans="1:12" x14ac:dyDescent="0.35">
      <c r="A10" t="s">
        <v>53</v>
      </c>
      <c r="B10" s="3">
        <v>46084</v>
      </c>
      <c r="C10" t="s">
        <v>39</v>
      </c>
      <c r="D10" t="s">
        <v>12</v>
      </c>
      <c r="E10" t="s">
        <v>13</v>
      </c>
      <c r="F10">
        <v>46</v>
      </c>
      <c r="G10" t="s">
        <v>15</v>
      </c>
      <c r="H10" t="s">
        <v>23</v>
      </c>
      <c r="I10" t="s">
        <v>44</v>
      </c>
      <c r="J10">
        <v>1512.5</v>
      </c>
      <c r="K10">
        <v>0</v>
      </c>
      <c r="L10">
        <f t="shared" si="0"/>
        <v>0</v>
      </c>
    </row>
    <row r="11" spans="1:12" x14ac:dyDescent="0.35">
      <c r="A11" t="s">
        <v>55</v>
      </c>
      <c r="B11" s="3">
        <v>46084</v>
      </c>
      <c r="C11" t="s">
        <v>56</v>
      </c>
      <c r="D11" t="s">
        <v>12</v>
      </c>
      <c r="E11" t="s">
        <v>13</v>
      </c>
      <c r="F11">
        <v>77</v>
      </c>
      <c r="G11" t="s">
        <v>130</v>
      </c>
      <c r="H11" t="s">
        <v>30</v>
      </c>
      <c r="I11" t="s">
        <v>24</v>
      </c>
      <c r="J11">
        <v>7381</v>
      </c>
      <c r="K11">
        <v>0</v>
      </c>
      <c r="L11">
        <f t="shared" si="0"/>
        <v>1</v>
      </c>
    </row>
    <row r="12" spans="1:12" x14ac:dyDescent="0.35">
      <c r="A12" t="s">
        <v>58</v>
      </c>
      <c r="B12" s="3">
        <v>46084</v>
      </c>
      <c r="C12" t="s">
        <v>39</v>
      </c>
      <c r="D12" t="s">
        <v>12</v>
      </c>
      <c r="E12" t="s">
        <v>129</v>
      </c>
      <c r="F12">
        <v>0</v>
      </c>
      <c r="G12" t="s">
        <v>130</v>
      </c>
      <c r="H12" t="s">
        <v>60</v>
      </c>
      <c r="I12" t="s">
        <v>17</v>
      </c>
      <c r="J12">
        <v>2359.5</v>
      </c>
      <c r="K12">
        <v>0</v>
      </c>
      <c r="L12">
        <f t="shared" si="0"/>
        <v>0</v>
      </c>
    </row>
    <row r="13" spans="1:12" x14ac:dyDescent="0.35">
      <c r="A13" t="s">
        <v>61</v>
      </c>
      <c r="B13" s="3">
        <v>46085</v>
      </c>
      <c r="C13" t="s">
        <v>56</v>
      </c>
      <c r="D13" t="s">
        <v>12</v>
      </c>
      <c r="E13" t="s">
        <v>13</v>
      </c>
      <c r="F13">
        <v>61</v>
      </c>
      <c r="G13" t="s">
        <v>15</v>
      </c>
      <c r="H13" t="s">
        <v>64</v>
      </c>
      <c r="I13" t="s">
        <v>24</v>
      </c>
      <c r="J13">
        <v>3000</v>
      </c>
      <c r="K13">
        <v>0</v>
      </c>
      <c r="L13">
        <f t="shared" si="0"/>
        <v>0</v>
      </c>
    </row>
    <row r="14" spans="1:12" x14ac:dyDescent="0.35">
      <c r="A14" t="s">
        <v>65</v>
      </c>
      <c r="B14" s="3">
        <v>46085</v>
      </c>
      <c r="C14" t="s">
        <v>39</v>
      </c>
      <c r="D14" t="s">
        <v>12</v>
      </c>
      <c r="E14" t="s">
        <v>13</v>
      </c>
      <c r="F14">
        <v>54</v>
      </c>
      <c r="G14" t="s">
        <v>15</v>
      </c>
      <c r="H14" t="s">
        <v>67</v>
      </c>
      <c r="I14" t="s">
        <v>17</v>
      </c>
      <c r="J14">
        <v>3720</v>
      </c>
      <c r="K14">
        <v>0</v>
      </c>
      <c r="L14">
        <f t="shared" si="0"/>
        <v>0</v>
      </c>
    </row>
    <row r="15" spans="1:12" x14ac:dyDescent="0.35">
      <c r="A15" t="s">
        <v>68</v>
      </c>
      <c r="B15" s="3">
        <v>46085</v>
      </c>
      <c r="C15" t="s">
        <v>56</v>
      </c>
      <c r="D15" t="s">
        <v>12</v>
      </c>
      <c r="E15" t="s">
        <v>13</v>
      </c>
      <c r="F15">
        <v>73</v>
      </c>
      <c r="G15" t="s">
        <v>15</v>
      </c>
      <c r="H15" t="s">
        <v>16</v>
      </c>
      <c r="I15" t="s">
        <v>31</v>
      </c>
      <c r="J15">
        <v>5640</v>
      </c>
      <c r="K15">
        <v>1</v>
      </c>
      <c r="L15">
        <f t="shared" si="0"/>
        <v>1</v>
      </c>
    </row>
    <row r="16" spans="1:12" x14ac:dyDescent="0.35">
      <c r="A16" t="s">
        <v>70</v>
      </c>
      <c r="B16" s="3">
        <v>46085</v>
      </c>
      <c r="C16" t="s">
        <v>39</v>
      </c>
      <c r="D16" t="s">
        <v>12</v>
      </c>
      <c r="E16" t="s">
        <v>13</v>
      </c>
      <c r="F16">
        <v>52</v>
      </c>
      <c r="G16" t="s">
        <v>130</v>
      </c>
      <c r="H16" t="s">
        <v>23</v>
      </c>
      <c r="I16" t="s">
        <v>24</v>
      </c>
      <c r="J16">
        <v>1560</v>
      </c>
      <c r="K16">
        <v>0</v>
      </c>
      <c r="L16">
        <f t="shared" si="0"/>
        <v>0</v>
      </c>
    </row>
    <row r="17" spans="1:12" x14ac:dyDescent="0.35">
      <c r="A17" t="s">
        <v>72</v>
      </c>
      <c r="B17" s="3">
        <v>46086</v>
      </c>
      <c r="C17" t="s">
        <v>56</v>
      </c>
      <c r="D17" t="s">
        <v>12</v>
      </c>
      <c r="E17" t="s">
        <v>129</v>
      </c>
      <c r="F17">
        <v>69</v>
      </c>
      <c r="G17" t="s">
        <v>130</v>
      </c>
      <c r="H17" t="s">
        <v>60</v>
      </c>
      <c r="I17" t="s">
        <v>24</v>
      </c>
      <c r="J17">
        <v>2596</v>
      </c>
      <c r="K17">
        <v>0</v>
      </c>
      <c r="L17">
        <f t="shared" si="0"/>
        <v>0</v>
      </c>
    </row>
    <row r="18" spans="1:12" x14ac:dyDescent="0.35">
      <c r="A18" t="s">
        <v>75</v>
      </c>
      <c r="B18" s="3">
        <v>46086</v>
      </c>
      <c r="C18" t="s">
        <v>56</v>
      </c>
      <c r="D18" t="s">
        <v>12</v>
      </c>
      <c r="E18" t="s">
        <v>129</v>
      </c>
      <c r="F18">
        <v>72</v>
      </c>
      <c r="G18" t="s">
        <v>15</v>
      </c>
      <c r="H18" t="s">
        <v>60</v>
      </c>
      <c r="I18" t="s">
        <v>24</v>
      </c>
      <c r="J18">
        <v>2124</v>
      </c>
      <c r="K18">
        <v>0</v>
      </c>
      <c r="L18">
        <f t="shared" si="0"/>
        <v>1</v>
      </c>
    </row>
    <row r="19" spans="1:12" x14ac:dyDescent="0.35">
      <c r="A19" t="s">
        <v>78</v>
      </c>
      <c r="B19" s="3">
        <v>46086</v>
      </c>
      <c r="C19" t="s">
        <v>56</v>
      </c>
      <c r="D19" t="s">
        <v>12</v>
      </c>
      <c r="E19" t="s">
        <v>47</v>
      </c>
      <c r="F19">
        <v>86</v>
      </c>
      <c r="G19" t="s">
        <v>15</v>
      </c>
      <c r="H19" t="s">
        <v>60</v>
      </c>
      <c r="I19" t="s">
        <v>17</v>
      </c>
      <c r="J19">
        <v>1711</v>
      </c>
      <c r="K19">
        <v>0</v>
      </c>
      <c r="L19">
        <f t="shared" si="0"/>
        <v>1</v>
      </c>
    </row>
    <row r="20" spans="1:12" x14ac:dyDescent="0.35">
      <c r="A20" t="s">
        <v>81</v>
      </c>
      <c r="B20" s="3">
        <v>46086</v>
      </c>
      <c r="C20" t="s">
        <v>39</v>
      </c>
      <c r="D20" t="s">
        <v>12</v>
      </c>
      <c r="E20" t="s">
        <v>129</v>
      </c>
      <c r="F20">
        <v>67</v>
      </c>
      <c r="G20" t="s">
        <v>15</v>
      </c>
      <c r="H20" t="s">
        <v>60</v>
      </c>
      <c r="I20" t="s">
        <v>44</v>
      </c>
      <c r="J20">
        <v>3068</v>
      </c>
      <c r="K20">
        <v>0</v>
      </c>
      <c r="L20">
        <f t="shared" si="0"/>
        <v>0</v>
      </c>
    </row>
    <row r="21" spans="1:12" x14ac:dyDescent="0.35">
      <c r="A21" t="s">
        <v>83</v>
      </c>
      <c r="B21" s="3">
        <v>46086</v>
      </c>
      <c r="C21" t="s">
        <v>39</v>
      </c>
      <c r="D21" t="s">
        <v>12</v>
      </c>
      <c r="E21" t="s">
        <v>13</v>
      </c>
      <c r="F21">
        <v>75</v>
      </c>
      <c r="G21" t="s">
        <v>15</v>
      </c>
      <c r="H21" t="s">
        <v>43</v>
      </c>
      <c r="I21" t="s">
        <v>17</v>
      </c>
      <c r="J21">
        <v>6136</v>
      </c>
      <c r="K21">
        <v>1</v>
      </c>
      <c r="L21">
        <f t="shared" si="0"/>
        <v>1</v>
      </c>
    </row>
    <row r="22" spans="1:12" x14ac:dyDescent="0.35">
      <c r="A22" t="s">
        <v>85</v>
      </c>
      <c r="B22" s="3">
        <v>46087</v>
      </c>
      <c r="C22" t="s">
        <v>56</v>
      </c>
      <c r="D22" t="s">
        <v>12</v>
      </c>
      <c r="E22" t="s">
        <v>13</v>
      </c>
      <c r="F22">
        <v>63</v>
      </c>
      <c r="G22" t="s">
        <v>130</v>
      </c>
      <c r="H22" t="s">
        <v>49</v>
      </c>
      <c r="I22" t="s">
        <v>24</v>
      </c>
      <c r="J22">
        <v>3927.0000000000005</v>
      </c>
      <c r="K22">
        <v>0</v>
      </c>
      <c r="L22">
        <f t="shared" si="0"/>
        <v>0</v>
      </c>
    </row>
    <row r="23" spans="1:12" x14ac:dyDescent="0.35">
      <c r="A23" t="s">
        <v>88</v>
      </c>
      <c r="B23" s="3">
        <v>46087</v>
      </c>
      <c r="C23" t="s">
        <v>39</v>
      </c>
      <c r="D23" t="s">
        <v>12</v>
      </c>
      <c r="E23" t="s">
        <v>13</v>
      </c>
      <c r="F23">
        <v>60</v>
      </c>
      <c r="G23" t="s">
        <v>15</v>
      </c>
      <c r="H23" t="s">
        <v>52</v>
      </c>
      <c r="I23" t="s">
        <v>17</v>
      </c>
      <c r="J23">
        <v>4879</v>
      </c>
      <c r="K23">
        <v>0</v>
      </c>
      <c r="L23">
        <f t="shared" si="0"/>
        <v>0</v>
      </c>
    </row>
    <row r="24" spans="1:12" x14ac:dyDescent="0.35">
      <c r="A24" t="s">
        <v>90</v>
      </c>
      <c r="B24" s="3">
        <v>46082</v>
      </c>
      <c r="C24" t="s">
        <v>91</v>
      </c>
      <c r="D24" t="s">
        <v>92</v>
      </c>
      <c r="E24" t="s">
        <v>13</v>
      </c>
      <c r="F24">
        <v>42</v>
      </c>
      <c r="G24" t="s">
        <v>98</v>
      </c>
      <c r="H24" t="s">
        <v>30</v>
      </c>
      <c r="I24" t="s">
        <v>24</v>
      </c>
      <c r="J24">
        <v>5616</v>
      </c>
      <c r="K24">
        <v>0</v>
      </c>
      <c r="L24">
        <f t="shared" si="0"/>
        <v>0</v>
      </c>
    </row>
    <row r="25" spans="1:12" x14ac:dyDescent="0.35">
      <c r="A25" t="s">
        <v>95</v>
      </c>
      <c r="B25" s="3">
        <v>46083</v>
      </c>
      <c r="C25" t="s">
        <v>96</v>
      </c>
      <c r="D25" t="s">
        <v>92</v>
      </c>
      <c r="E25" t="s">
        <v>47</v>
      </c>
      <c r="F25">
        <v>65</v>
      </c>
      <c r="G25" t="s">
        <v>98</v>
      </c>
      <c r="H25" t="s">
        <v>37</v>
      </c>
      <c r="I25" t="s">
        <v>24</v>
      </c>
      <c r="J25">
        <v>6649.0000000000009</v>
      </c>
      <c r="K25">
        <v>1</v>
      </c>
      <c r="L25">
        <f t="shared" si="0"/>
        <v>1</v>
      </c>
    </row>
    <row r="26" spans="1:12" x14ac:dyDescent="0.35">
      <c r="A26" t="s">
        <v>99</v>
      </c>
      <c r="B26" s="3">
        <v>46084</v>
      </c>
      <c r="C26" t="s">
        <v>91</v>
      </c>
      <c r="D26" t="s">
        <v>92</v>
      </c>
      <c r="E26" t="s">
        <v>13</v>
      </c>
      <c r="F26">
        <v>38</v>
      </c>
      <c r="G26" t="s">
        <v>98</v>
      </c>
      <c r="H26" t="s">
        <v>43</v>
      </c>
      <c r="I26" t="s">
        <v>44</v>
      </c>
      <c r="J26">
        <v>3024</v>
      </c>
      <c r="K26">
        <v>0</v>
      </c>
      <c r="L26">
        <f t="shared" si="0"/>
        <v>0</v>
      </c>
    </row>
    <row r="27" spans="1:12" x14ac:dyDescent="0.35">
      <c r="A27" t="s">
        <v>102</v>
      </c>
      <c r="B27" s="3">
        <v>46086</v>
      </c>
      <c r="C27" t="s">
        <v>96</v>
      </c>
      <c r="D27" t="s">
        <v>92</v>
      </c>
      <c r="E27" t="s">
        <v>129</v>
      </c>
      <c r="F27">
        <v>44</v>
      </c>
      <c r="G27" t="s">
        <v>98</v>
      </c>
      <c r="H27" t="s">
        <v>49</v>
      </c>
      <c r="I27" t="s">
        <v>31</v>
      </c>
      <c r="J27">
        <v>3597.0000000000005</v>
      </c>
      <c r="K27">
        <v>0</v>
      </c>
      <c r="L27">
        <f t="shared" si="0"/>
        <v>0</v>
      </c>
    </row>
    <row r="28" spans="1:12" x14ac:dyDescent="0.35">
      <c r="A28" t="s">
        <v>104</v>
      </c>
      <c r="B28" s="3">
        <v>46082</v>
      </c>
      <c r="C28" t="s">
        <v>110</v>
      </c>
      <c r="D28" t="s">
        <v>106</v>
      </c>
      <c r="E28" t="s">
        <v>13</v>
      </c>
      <c r="F28">
        <v>49</v>
      </c>
      <c r="G28" t="s">
        <v>112</v>
      </c>
      <c r="H28" t="s">
        <v>52</v>
      </c>
      <c r="I28" t="s">
        <v>24</v>
      </c>
      <c r="J28">
        <v>7200</v>
      </c>
      <c r="K28">
        <v>1</v>
      </c>
      <c r="L28">
        <f t="shared" si="0"/>
        <v>0</v>
      </c>
    </row>
    <row r="29" spans="1:12" x14ac:dyDescent="0.35">
      <c r="A29" t="s">
        <v>109</v>
      </c>
      <c r="B29" s="3">
        <v>46083</v>
      </c>
      <c r="C29" t="s">
        <v>110</v>
      </c>
      <c r="D29" t="s">
        <v>106</v>
      </c>
      <c r="E29" t="s">
        <v>13</v>
      </c>
      <c r="F29">
        <v>41</v>
      </c>
      <c r="G29" t="s">
        <v>112</v>
      </c>
      <c r="H29" t="s">
        <v>60</v>
      </c>
      <c r="I29" t="s">
        <v>24</v>
      </c>
      <c r="J29">
        <v>3100</v>
      </c>
      <c r="K29">
        <v>0</v>
      </c>
      <c r="L29">
        <f t="shared" si="0"/>
        <v>0</v>
      </c>
    </row>
    <row r="30" spans="1:12" x14ac:dyDescent="0.35">
      <c r="A30" t="s">
        <v>113</v>
      </c>
      <c r="B30" s="3">
        <v>46085</v>
      </c>
      <c r="C30" t="s">
        <v>110</v>
      </c>
      <c r="D30" t="s">
        <v>106</v>
      </c>
      <c r="E30" t="s">
        <v>47</v>
      </c>
      <c r="F30">
        <v>58</v>
      </c>
      <c r="G30" t="s">
        <v>112</v>
      </c>
      <c r="H30" t="s">
        <v>64</v>
      </c>
      <c r="I30" t="s">
        <v>44</v>
      </c>
      <c r="J30">
        <v>2500</v>
      </c>
      <c r="K30">
        <v>0</v>
      </c>
      <c r="L30">
        <f t="shared" si="0"/>
        <v>1</v>
      </c>
    </row>
    <row r="31" spans="1:12" x14ac:dyDescent="0.35">
      <c r="A31" t="s">
        <v>116</v>
      </c>
      <c r="B31" s="3">
        <v>46087</v>
      </c>
      <c r="C31" t="s">
        <v>110</v>
      </c>
      <c r="D31" t="s">
        <v>106</v>
      </c>
      <c r="E31" t="s">
        <v>129</v>
      </c>
      <c r="F31">
        <v>47</v>
      </c>
      <c r="G31" t="s">
        <v>112</v>
      </c>
      <c r="H31" t="s">
        <v>67</v>
      </c>
      <c r="I31" t="s">
        <v>17</v>
      </c>
      <c r="J31">
        <v>1800</v>
      </c>
      <c r="K31">
        <v>0</v>
      </c>
      <c r="L31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6BD3-23FC-47FF-ABE9-45370241F78F}">
  <dimension ref="A1:D19"/>
  <sheetViews>
    <sheetView workbookViewId="0">
      <selection activeCell="D19" sqref="D19"/>
    </sheetView>
  </sheetViews>
  <sheetFormatPr defaultRowHeight="14.5" x14ac:dyDescent="0.35"/>
  <cols>
    <col min="1" max="1" width="10.08984375" bestFit="1" customWidth="1"/>
    <col min="4" max="4" width="14.36328125" customWidth="1"/>
  </cols>
  <sheetData>
    <row r="1" spans="1:4" x14ac:dyDescent="0.35">
      <c r="A1" t="s">
        <v>120</v>
      </c>
      <c r="B1" t="s">
        <v>4</v>
      </c>
      <c r="C1" t="s">
        <v>121</v>
      </c>
      <c r="D1" t="s">
        <v>122</v>
      </c>
    </row>
    <row r="2" spans="1:4" x14ac:dyDescent="0.35">
      <c r="A2" s="2">
        <v>46082</v>
      </c>
      <c r="B2" t="s">
        <v>12</v>
      </c>
      <c r="C2">
        <v>1.1900000000000001E-2</v>
      </c>
      <c r="D2" t="str">
        <f>TEXT(A2,"yyyy-mm-dd") &amp; "_" &amp; TRIM(B2)</f>
        <v>2026-03-01_INR</v>
      </c>
    </row>
    <row r="3" spans="1:4" x14ac:dyDescent="0.35">
      <c r="A3" s="2">
        <v>46082</v>
      </c>
      <c r="B3" t="s">
        <v>92</v>
      </c>
      <c r="C3">
        <v>1.08</v>
      </c>
      <c r="D3" t="str">
        <f t="shared" ref="D3:D19" si="0">TEXT(A3,"yyyy-mm-dd") &amp; "_" &amp; TRIM(B3)</f>
        <v>2026-03-01_EUR</v>
      </c>
    </row>
    <row r="4" spans="1:4" x14ac:dyDescent="0.35">
      <c r="A4" s="2">
        <v>46082</v>
      </c>
      <c r="B4" t="s">
        <v>106</v>
      </c>
      <c r="C4">
        <v>1</v>
      </c>
      <c r="D4" t="str">
        <f t="shared" si="0"/>
        <v>2026-03-01_USD</v>
      </c>
    </row>
    <row r="5" spans="1:4" x14ac:dyDescent="0.35">
      <c r="A5" s="2">
        <v>46083</v>
      </c>
      <c r="B5" t="s">
        <v>12</v>
      </c>
      <c r="C5">
        <v>1.2E-2</v>
      </c>
      <c r="D5" t="str">
        <f t="shared" si="0"/>
        <v>2026-03-02_INR</v>
      </c>
    </row>
    <row r="6" spans="1:4" x14ac:dyDescent="0.35">
      <c r="A6" s="2">
        <v>46083</v>
      </c>
      <c r="B6" t="s">
        <v>92</v>
      </c>
      <c r="C6">
        <v>1.0900000000000001</v>
      </c>
      <c r="D6" t="str">
        <f t="shared" si="0"/>
        <v>2026-03-02_EUR</v>
      </c>
    </row>
    <row r="7" spans="1:4" x14ac:dyDescent="0.35">
      <c r="A7" s="2">
        <v>46083</v>
      </c>
      <c r="B7" t="s">
        <v>106</v>
      </c>
      <c r="C7">
        <v>1</v>
      </c>
      <c r="D7" t="str">
        <f t="shared" si="0"/>
        <v>2026-03-02_USD</v>
      </c>
    </row>
    <row r="8" spans="1:4" x14ac:dyDescent="0.35">
      <c r="A8" s="2">
        <v>46084</v>
      </c>
      <c r="B8" t="s">
        <v>12</v>
      </c>
      <c r="C8">
        <v>1.21E-2</v>
      </c>
      <c r="D8" t="str">
        <f t="shared" si="0"/>
        <v>2026-03-03_INR</v>
      </c>
    </row>
    <row r="9" spans="1:4" x14ac:dyDescent="0.35">
      <c r="A9" s="2">
        <v>46084</v>
      </c>
      <c r="B9" t="s">
        <v>92</v>
      </c>
      <c r="C9">
        <v>1.08</v>
      </c>
      <c r="D9" t="str">
        <f t="shared" si="0"/>
        <v>2026-03-03_EUR</v>
      </c>
    </row>
    <row r="10" spans="1:4" x14ac:dyDescent="0.35">
      <c r="A10" s="2">
        <v>46084</v>
      </c>
      <c r="B10" t="s">
        <v>106</v>
      </c>
      <c r="C10">
        <v>1</v>
      </c>
      <c r="D10" t="str">
        <f t="shared" si="0"/>
        <v>2026-03-03_USD</v>
      </c>
    </row>
    <row r="11" spans="1:4" x14ac:dyDescent="0.35">
      <c r="A11" s="2">
        <v>46085</v>
      </c>
      <c r="B11" t="s">
        <v>12</v>
      </c>
      <c r="C11">
        <v>1.2E-2</v>
      </c>
      <c r="D11" t="str">
        <f t="shared" si="0"/>
        <v>2026-03-04_INR</v>
      </c>
    </row>
    <row r="12" spans="1:4" x14ac:dyDescent="0.35">
      <c r="A12" s="2">
        <v>46085</v>
      </c>
      <c r="B12" t="s">
        <v>92</v>
      </c>
      <c r="C12">
        <v>1.07</v>
      </c>
      <c r="D12" t="str">
        <f t="shared" si="0"/>
        <v>2026-03-04_EUR</v>
      </c>
    </row>
    <row r="13" spans="1:4" x14ac:dyDescent="0.35">
      <c r="A13" s="2">
        <v>46085</v>
      </c>
      <c r="B13" t="s">
        <v>106</v>
      </c>
      <c r="C13">
        <v>1</v>
      </c>
      <c r="D13" t="str">
        <f t="shared" si="0"/>
        <v>2026-03-04_USD</v>
      </c>
    </row>
    <row r="14" spans="1:4" x14ac:dyDescent="0.35">
      <c r="A14" s="2">
        <v>46086</v>
      </c>
      <c r="B14" t="s">
        <v>12</v>
      </c>
      <c r="C14">
        <v>1.18E-2</v>
      </c>
      <c r="D14" t="str">
        <f t="shared" si="0"/>
        <v>2026-03-05_INR</v>
      </c>
    </row>
    <row r="15" spans="1:4" x14ac:dyDescent="0.35">
      <c r="A15" s="2">
        <v>46086</v>
      </c>
      <c r="B15" t="s">
        <v>92</v>
      </c>
      <c r="C15">
        <v>1.0900000000000001</v>
      </c>
      <c r="D15" t="str">
        <f t="shared" si="0"/>
        <v>2026-03-05_EUR</v>
      </c>
    </row>
    <row r="16" spans="1:4" x14ac:dyDescent="0.35">
      <c r="A16" s="2">
        <v>46086</v>
      </c>
      <c r="B16" t="s">
        <v>106</v>
      </c>
      <c r="C16">
        <v>1</v>
      </c>
      <c r="D16" t="str">
        <f t="shared" si="0"/>
        <v>2026-03-05_USD</v>
      </c>
    </row>
    <row r="17" spans="1:4" x14ac:dyDescent="0.35">
      <c r="A17" s="2">
        <v>46087</v>
      </c>
      <c r="B17" t="s">
        <v>12</v>
      </c>
      <c r="C17">
        <v>1.1900000000000001E-2</v>
      </c>
      <c r="D17" t="str">
        <f t="shared" si="0"/>
        <v>2026-03-06_INR</v>
      </c>
    </row>
    <row r="18" spans="1:4" x14ac:dyDescent="0.35">
      <c r="A18" s="2">
        <v>46087</v>
      </c>
      <c r="B18" t="s">
        <v>92</v>
      </c>
      <c r="C18">
        <v>1.08</v>
      </c>
      <c r="D18" t="str">
        <f t="shared" si="0"/>
        <v>2026-03-06_EUR</v>
      </c>
    </row>
    <row r="19" spans="1:4" x14ac:dyDescent="0.35">
      <c r="A19" s="2">
        <v>46087</v>
      </c>
      <c r="B19" t="s">
        <v>106</v>
      </c>
      <c r="C19">
        <v>1</v>
      </c>
      <c r="D19" t="str">
        <f t="shared" si="0"/>
        <v>2026-03-06_USD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059EE7-7219-489C-9D7F-DADCA3E1E1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transactions_raw</vt:lpstr>
      <vt:lpstr>cleaned_transactions_calculatio</vt:lpstr>
      <vt:lpstr>merchant_risk_summary</vt:lpstr>
      <vt:lpstr>cleaned_transactions</vt:lpstr>
      <vt:lpstr>exchange_rates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nehagirish31@gmail.com</dc:creator>
  <cp:lastModifiedBy>nehagirish31@gmail.com</cp:lastModifiedBy>
  <dcterms:created xsi:type="dcterms:W3CDTF">2026-05-05T11:11:52Z</dcterms:created>
  <dcterms:modified xsi:type="dcterms:W3CDTF">2026-05-05T18:04:00Z</dcterms:modified>
</cp:coreProperties>
</file>